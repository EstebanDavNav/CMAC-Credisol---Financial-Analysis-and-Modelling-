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f8efa62fc0fac84/PROYECTOS PRACTICAS PRE-PROF/EXCEL/CMAC CrediSol/"/>
    </mc:Choice>
  </mc:AlternateContent>
  <xr:revisionPtr revIDLastSave="529" documentId="8_{E1D1A375-1850-48EB-850D-81EC27E96A8A}" xr6:coauthVersionLast="47" xr6:coauthVersionMax="47" xr10:uidLastSave="{616CCA1D-543C-4E24-8AE6-05ED0BC89A15}"/>
  <bookViews>
    <workbookView xWindow="20370" yWindow="-120" windowWidth="20730" windowHeight="11040" tabRatio="612" firstSheet="5" activeTab="8" xr2:uid="{00000000-000D-0000-FFFF-FFFF00000000}"/>
  </bookViews>
  <sheets>
    <sheet name="Dashboards" sheetId="15" r:id="rId1"/>
    <sheet name="KPIs" sheetId="8" r:id="rId2"/>
    <sheet name="Agencias" sheetId="1" r:id="rId3"/>
    <sheet name="TiposCredito" sheetId="2" r:id="rId4"/>
    <sheet name="TiposDeposito" sheetId="3" r:id="rId5"/>
    <sheet name="Clientes" sheetId="4" r:id="rId6"/>
    <sheet name="Creditos" sheetId="6" r:id="rId7"/>
    <sheet name="TD Creditos" sheetId="13" r:id="rId8"/>
    <sheet name="Depositos" sheetId="7" r:id="rId9"/>
    <sheet name="TD Depositos" sheetId="14" r:id="rId10"/>
    <sheet name="Simulador" sheetId="9" r:id="rId11"/>
    <sheet name="Meta y Escenarios" sheetId="10" r:id="rId12"/>
    <sheet name="Resumen del escenario" sheetId="11" r:id="rId13"/>
  </sheets>
  <definedNames>
    <definedName name="_xleta.MAX" hidden="1" xlm="1">#NAME?</definedName>
    <definedName name="SegmentaciónDeDatos_AgenciaID">#N/A</definedName>
    <definedName name="SegmentaciónDeDatos_AgenciaID1">#N/A</definedName>
    <definedName name="SegmentaciónDeDatos_TipoCreditoID">#N/A</definedName>
    <definedName name="SegmentaciónDeDatos_TipoDepositoID">#N/A</definedName>
  </definedNames>
  <calcPr calcId="191029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4" l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J228" i="4"/>
  <c r="D301" i="7"/>
  <c r="G301" i="7"/>
  <c r="K301" i="7" s="1"/>
  <c r="L301" i="7" s="1"/>
  <c r="J301" i="7"/>
  <c r="M301" i="7" s="1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401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C5" i="9"/>
  <c r="D9" i="9" s="1"/>
  <c r="S12" i="6"/>
  <c r="D6" i="10"/>
  <c r="L2" i="6"/>
  <c r="L3" i="6"/>
  <c r="K3" i="6" s="1"/>
  <c r="R3" i="6" s="1"/>
  <c r="L4" i="6"/>
  <c r="K4" i="6" s="1"/>
  <c r="R4" i="6" s="1"/>
  <c r="L5" i="6"/>
  <c r="L6" i="6"/>
  <c r="S6" i="6" s="1"/>
  <c r="L7" i="6"/>
  <c r="S7" i="6" s="1"/>
  <c r="L8" i="6"/>
  <c r="L9" i="6"/>
  <c r="L10" i="6"/>
  <c r="L11" i="6"/>
  <c r="K11" i="6" s="1"/>
  <c r="M11" i="6" s="1"/>
  <c r="L12" i="6"/>
  <c r="L13" i="6"/>
  <c r="L14" i="6"/>
  <c r="K14" i="6" s="1"/>
  <c r="M14" i="6" s="1"/>
  <c r="L15" i="6"/>
  <c r="S15" i="6" s="1"/>
  <c r="L16" i="6"/>
  <c r="L17" i="6"/>
  <c r="S17" i="6" s="1"/>
  <c r="L18" i="6"/>
  <c r="L19" i="6"/>
  <c r="S19" i="6" s="1"/>
  <c r="L20" i="6"/>
  <c r="S20" i="6" s="1"/>
  <c r="L21" i="6"/>
  <c r="L22" i="6"/>
  <c r="K22" i="6" s="1"/>
  <c r="M22" i="6" s="1"/>
  <c r="L23" i="6"/>
  <c r="L24" i="6"/>
  <c r="S24" i="6" s="1"/>
  <c r="L25" i="6"/>
  <c r="L26" i="6"/>
  <c r="L27" i="6"/>
  <c r="L28" i="6"/>
  <c r="S28" i="6" s="1"/>
  <c r="L29" i="6"/>
  <c r="S29" i="6" s="1"/>
  <c r="L30" i="6"/>
  <c r="S30" i="6" s="1"/>
  <c r="L31" i="6"/>
  <c r="S31" i="6" s="1"/>
  <c r="L32" i="6"/>
  <c r="L33" i="6"/>
  <c r="S33" i="6" s="1"/>
  <c r="L34" i="6"/>
  <c r="L35" i="6"/>
  <c r="S35" i="6" s="1"/>
  <c r="L36" i="6"/>
  <c r="S36" i="6" s="1"/>
  <c r="L37" i="6"/>
  <c r="S37" i="6" s="1"/>
  <c r="L38" i="6"/>
  <c r="L39" i="6"/>
  <c r="S39" i="6" s="1"/>
  <c r="L40" i="6"/>
  <c r="L41" i="6"/>
  <c r="L42" i="6"/>
  <c r="L43" i="6"/>
  <c r="L44" i="6"/>
  <c r="S44" i="6" s="1"/>
  <c r="L45" i="6"/>
  <c r="S45" i="6" s="1"/>
  <c r="L46" i="6"/>
  <c r="S46" i="6" s="1"/>
  <c r="L47" i="6"/>
  <c r="S47" i="6" s="1"/>
  <c r="L48" i="6"/>
  <c r="L49" i="6"/>
  <c r="L50" i="6"/>
  <c r="L51" i="6"/>
  <c r="L52" i="6"/>
  <c r="S52" i="6" s="1"/>
  <c r="L53" i="6"/>
  <c r="S53" i="6" s="1"/>
  <c r="L54" i="6"/>
  <c r="L55" i="6"/>
  <c r="S55" i="6" s="1"/>
  <c r="L56" i="6"/>
  <c r="S56" i="6" s="1"/>
  <c r="L57" i="6"/>
  <c r="L58" i="6"/>
  <c r="S58" i="6" s="1"/>
  <c r="L59" i="6"/>
  <c r="L60" i="6"/>
  <c r="S60" i="6" s="1"/>
  <c r="L61" i="6"/>
  <c r="L62" i="6"/>
  <c r="L63" i="6"/>
  <c r="S63" i="6" s="1"/>
  <c r="L64" i="6"/>
  <c r="S64" i="6" s="1"/>
  <c r="L65" i="6"/>
  <c r="S65" i="6" s="1"/>
  <c r="L66" i="6"/>
  <c r="L67" i="6"/>
  <c r="S67" i="6" s="1"/>
  <c r="L68" i="6"/>
  <c r="L69" i="6"/>
  <c r="L70" i="6"/>
  <c r="S70" i="6" s="1"/>
  <c r="L71" i="6"/>
  <c r="S71" i="6" s="1"/>
  <c r="L72" i="6"/>
  <c r="S72" i="6" s="1"/>
  <c r="L73" i="6"/>
  <c r="S73" i="6" s="1"/>
  <c r="L74" i="6"/>
  <c r="L75" i="6"/>
  <c r="S75" i="6" s="1"/>
  <c r="L76" i="6"/>
  <c r="L77" i="6"/>
  <c r="L78" i="6"/>
  <c r="S78" i="6" s="1"/>
  <c r="L79" i="6"/>
  <c r="S79" i="6" s="1"/>
  <c r="L80" i="6"/>
  <c r="S80" i="6" s="1"/>
  <c r="L81" i="6"/>
  <c r="S81" i="6" s="1"/>
  <c r="L82" i="6"/>
  <c r="L83" i="6"/>
  <c r="S83" i="6" s="1"/>
  <c r="L84" i="6"/>
  <c r="L85" i="6"/>
  <c r="L86" i="6"/>
  <c r="S86" i="6" s="1"/>
  <c r="L87" i="6"/>
  <c r="S87" i="6" s="1"/>
  <c r="L88" i="6"/>
  <c r="L89" i="6"/>
  <c r="S89" i="6" s="1"/>
  <c r="L90" i="6"/>
  <c r="L91" i="6"/>
  <c r="S91" i="6" s="1"/>
  <c r="L92" i="6"/>
  <c r="S92" i="6" s="1"/>
  <c r="L93" i="6"/>
  <c r="L94" i="6"/>
  <c r="K94" i="6" s="1"/>
  <c r="M94" i="6" s="1"/>
  <c r="L95" i="6"/>
  <c r="S95" i="6" s="1"/>
  <c r="L96" i="6"/>
  <c r="L97" i="6"/>
  <c r="S97" i="6" s="1"/>
  <c r="L98" i="6"/>
  <c r="L99" i="6"/>
  <c r="S99" i="6" s="1"/>
  <c r="L100" i="6"/>
  <c r="S100" i="6" s="1"/>
  <c r="L101" i="6"/>
  <c r="L102" i="6"/>
  <c r="S102" i="6" s="1"/>
  <c r="L103" i="6"/>
  <c r="S103" i="6" s="1"/>
  <c r="L104" i="6"/>
  <c r="L105" i="6"/>
  <c r="S105" i="6" s="1"/>
  <c r="L106" i="6"/>
  <c r="L107" i="6"/>
  <c r="S107" i="6" s="1"/>
  <c r="L108" i="6"/>
  <c r="S108" i="6" s="1"/>
  <c r="L109" i="6"/>
  <c r="S109" i="6" s="1"/>
  <c r="L110" i="6"/>
  <c r="S110" i="6" s="1"/>
  <c r="L111" i="6"/>
  <c r="S111" i="6" s="1"/>
  <c r="L112" i="6"/>
  <c r="L113" i="6"/>
  <c r="L114" i="6"/>
  <c r="L115" i="6"/>
  <c r="L116" i="6"/>
  <c r="S116" i="6" s="1"/>
  <c r="L117" i="6"/>
  <c r="S117" i="6" s="1"/>
  <c r="L118" i="6"/>
  <c r="L119" i="6"/>
  <c r="S119" i="6" s="1"/>
  <c r="L120" i="6"/>
  <c r="S120" i="6" s="1"/>
  <c r="L121" i="6"/>
  <c r="L122" i="6"/>
  <c r="S122" i="6" s="1"/>
  <c r="L123" i="6"/>
  <c r="S123" i="6" s="1"/>
  <c r="L124" i="6"/>
  <c r="L125" i="6"/>
  <c r="S125" i="6" s="1"/>
  <c r="L126" i="6"/>
  <c r="S126" i="6" s="1"/>
  <c r="L127" i="6"/>
  <c r="S127" i="6" s="1"/>
  <c r="L128" i="6"/>
  <c r="S128" i="6" s="1"/>
  <c r="L129" i="6"/>
  <c r="L130" i="6"/>
  <c r="L131" i="6"/>
  <c r="S131" i="6" s="1"/>
  <c r="L132" i="6"/>
  <c r="L133" i="6"/>
  <c r="L134" i="6"/>
  <c r="S134" i="6" s="1"/>
  <c r="L135" i="6"/>
  <c r="S135" i="6" s="1"/>
  <c r="L136" i="6"/>
  <c r="S136" i="6" s="1"/>
  <c r="L137" i="6"/>
  <c r="S137" i="6" s="1"/>
  <c r="L138" i="6"/>
  <c r="L139" i="6"/>
  <c r="L140" i="6"/>
  <c r="L141" i="6"/>
  <c r="S141" i="6" s="1"/>
  <c r="L142" i="6"/>
  <c r="S142" i="6" s="1"/>
  <c r="L143" i="6"/>
  <c r="S143" i="6" s="1"/>
  <c r="L144" i="6"/>
  <c r="S144" i="6" s="1"/>
  <c r="L145" i="6"/>
  <c r="S145" i="6" s="1"/>
  <c r="L146" i="6"/>
  <c r="L147" i="6"/>
  <c r="L148" i="6"/>
  <c r="L149" i="6"/>
  <c r="S149" i="6" s="1"/>
  <c r="L150" i="6"/>
  <c r="K150" i="6" s="1"/>
  <c r="M150" i="6" s="1"/>
  <c r="L151" i="6"/>
  <c r="L152" i="6"/>
  <c r="S152" i="6" s="1"/>
  <c r="L153" i="6"/>
  <c r="S153" i="6" s="1"/>
  <c r="L154" i="6"/>
  <c r="L155" i="6"/>
  <c r="S155" i="6" s="1"/>
  <c r="L156" i="6"/>
  <c r="S156" i="6" s="1"/>
  <c r="L157" i="6"/>
  <c r="L158" i="6"/>
  <c r="L159" i="6"/>
  <c r="S159" i="6" s="1"/>
  <c r="L160" i="6"/>
  <c r="S160" i="6" s="1"/>
  <c r="L161" i="6"/>
  <c r="L162" i="6"/>
  <c r="L163" i="6"/>
  <c r="S163" i="6" s="1"/>
  <c r="L164" i="6"/>
  <c r="S164" i="6" s="1"/>
  <c r="L165" i="6"/>
  <c r="L166" i="6"/>
  <c r="S166" i="6" s="1"/>
  <c r="L167" i="6"/>
  <c r="L168" i="6"/>
  <c r="S168" i="6" s="1"/>
  <c r="L169" i="6"/>
  <c r="L170" i="6"/>
  <c r="L171" i="6"/>
  <c r="S171" i="6" s="1"/>
  <c r="L172" i="6"/>
  <c r="L173" i="6"/>
  <c r="S173" i="6" s="1"/>
  <c r="L174" i="6"/>
  <c r="S174" i="6" s="1"/>
  <c r="L175" i="6"/>
  <c r="S175" i="6" s="1"/>
  <c r="L176" i="6"/>
  <c r="S176" i="6" s="1"/>
  <c r="L177" i="6"/>
  <c r="L178" i="6"/>
  <c r="L179" i="6"/>
  <c r="L180" i="6"/>
  <c r="S180" i="6" s="1"/>
  <c r="L181" i="6"/>
  <c r="S181" i="6" s="1"/>
  <c r="L182" i="6"/>
  <c r="S182" i="6" s="1"/>
  <c r="L183" i="6"/>
  <c r="S183" i="6" s="1"/>
  <c r="L184" i="6"/>
  <c r="S184" i="6" s="1"/>
  <c r="L185" i="6"/>
  <c r="S185" i="6" s="1"/>
  <c r="L186" i="6"/>
  <c r="L187" i="6"/>
  <c r="L188" i="6"/>
  <c r="L189" i="6"/>
  <c r="S189" i="6" s="1"/>
  <c r="L190" i="6"/>
  <c r="S190" i="6" s="1"/>
  <c r="L191" i="6"/>
  <c r="S191" i="6" s="1"/>
  <c r="L192" i="6"/>
  <c r="S192" i="6" s="1"/>
  <c r="L193" i="6"/>
  <c r="S193" i="6" s="1"/>
  <c r="L194" i="6"/>
  <c r="L195" i="6"/>
  <c r="S195" i="6" s="1"/>
  <c r="L196" i="6"/>
  <c r="L197" i="6"/>
  <c r="K197" i="6" s="1"/>
  <c r="M197" i="6" s="1"/>
  <c r="L198" i="6"/>
  <c r="L199" i="6"/>
  <c r="S199" i="6" s="1"/>
  <c r="L200" i="6"/>
  <c r="L201" i="6"/>
  <c r="S201" i="6" s="1"/>
  <c r="L202" i="6"/>
  <c r="L203" i="6"/>
  <c r="S203" i="6" s="1"/>
  <c r="L204" i="6"/>
  <c r="L205" i="6"/>
  <c r="S205" i="6" s="1"/>
  <c r="L206" i="6"/>
  <c r="K206" i="6" s="1"/>
  <c r="M206" i="6" s="1"/>
  <c r="L207" i="6"/>
  <c r="S207" i="6" s="1"/>
  <c r="L208" i="6"/>
  <c r="L209" i="6"/>
  <c r="S209" i="6" s="1"/>
  <c r="L210" i="6"/>
  <c r="L211" i="6"/>
  <c r="S211" i="6" s="1"/>
  <c r="L212" i="6"/>
  <c r="S212" i="6" s="1"/>
  <c r="L213" i="6"/>
  <c r="S213" i="6" s="1"/>
  <c r="L214" i="6"/>
  <c r="S214" i="6" s="1"/>
  <c r="L215" i="6"/>
  <c r="S215" i="6" s="1"/>
  <c r="L216" i="6"/>
  <c r="L217" i="6"/>
  <c r="S217" i="6" s="1"/>
  <c r="L218" i="6"/>
  <c r="L219" i="6"/>
  <c r="L220" i="6"/>
  <c r="L221" i="6"/>
  <c r="S221" i="6" s="1"/>
  <c r="L222" i="6"/>
  <c r="S222" i="6" s="1"/>
  <c r="L223" i="6"/>
  <c r="S223" i="6" s="1"/>
  <c r="L224" i="6"/>
  <c r="L225" i="6"/>
  <c r="S225" i="6" s="1"/>
  <c r="L226" i="6"/>
  <c r="L227" i="6"/>
  <c r="L228" i="6"/>
  <c r="L229" i="6"/>
  <c r="S229" i="6" s="1"/>
  <c r="L230" i="6"/>
  <c r="K230" i="6" s="1"/>
  <c r="M230" i="6" s="1"/>
  <c r="P230" i="6" s="1"/>
  <c r="L231" i="6"/>
  <c r="S231" i="6" s="1"/>
  <c r="L232" i="6"/>
  <c r="L233" i="6"/>
  <c r="S233" i="6" s="1"/>
  <c r="L234" i="6"/>
  <c r="L235" i="6"/>
  <c r="S235" i="6" s="1"/>
  <c r="L236" i="6"/>
  <c r="S236" i="6" s="1"/>
  <c r="L237" i="6"/>
  <c r="L238" i="6"/>
  <c r="S238" i="6" s="1"/>
  <c r="L239" i="6"/>
  <c r="S239" i="6" s="1"/>
  <c r="L240" i="6"/>
  <c r="S240" i="6" s="1"/>
  <c r="L241" i="6"/>
  <c r="L242" i="6"/>
  <c r="L243" i="6"/>
  <c r="S243" i="6" s="1"/>
  <c r="L244" i="6"/>
  <c r="S244" i="6" s="1"/>
  <c r="L245" i="6"/>
  <c r="S245" i="6" s="1"/>
  <c r="L246" i="6"/>
  <c r="K246" i="6" s="1"/>
  <c r="M246" i="6" s="1"/>
  <c r="P246" i="6" s="1"/>
  <c r="L247" i="6"/>
  <c r="S247" i="6" s="1"/>
  <c r="L248" i="6"/>
  <c r="S248" i="6" s="1"/>
  <c r="L249" i="6"/>
  <c r="S249" i="6" s="1"/>
  <c r="L250" i="6"/>
  <c r="S250" i="6" s="1"/>
  <c r="L251" i="6"/>
  <c r="S251" i="6" s="1"/>
  <c r="L252" i="6"/>
  <c r="S252" i="6" s="1"/>
  <c r="L253" i="6"/>
  <c r="S253" i="6" s="1"/>
  <c r="L254" i="6"/>
  <c r="S254" i="6" s="1"/>
  <c r="L255" i="6"/>
  <c r="S255" i="6" s="1"/>
  <c r="L256" i="6"/>
  <c r="L257" i="6"/>
  <c r="L258" i="6"/>
  <c r="L259" i="6"/>
  <c r="S259" i="6" s="1"/>
  <c r="L260" i="6"/>
  <c r="S260" i="6" s="1"/>
  <c r="L261" i="6"/>
  <c r="S261" i="6" s="1"/>
  <c r="L262" i="6"/>
  <c r="S262" i="6" s="1"/>
  <c r="L263" i="6"/>
  <c r="S263" i="6" s="1"/>
  <c r="L264" i="6"/>
  <c r="S264" i="6" s="1"/>
  <c r="L265" i="6"/>
  <c r="L266" i="6"/>
  <c r="L267" i="6"/>
  <c r="S267" i="6" s="1"/>
  <c r="L268" i="6"/>
  <c r="S268" i="6" s="1"/>
  <c r="L269" i="6"/>
  <c r="L270" i="6"/>
  <c r="S270" i="6" s="1"/>
  <c r="L271" i="6"/>
  <c r="L272" i="6"/>
  <c r="S272" i="6" s="1"/>
  <c r="L273" i="6"/>
  <c r="L274" i="6"/>
  <c r="L275" i="6"/>
  <c r="L276" i="6"/>
  <c r="L277" i="6"/>
  <c r="S277" i="6" s="1"/>
  <c r="L278" i="6"/>
  <c r="K278" i="6" s="1"/>
  <c r="M278" i="6" s="1"/>
  <c r="L279" i="6"/>
  <c r="S279" i="6" s="1"/>
  <c r="L280" i="6"/>
  <c r="S280" i="6" s="1"/>
  <c r="L281" i="6"/>
  <c r="S281" i="6" s="1"/>
  <c r="L282" i="6"/>
  <c r="L283" i="6"/>
  <c r="L284" i="6"/>
  <c r="S284" i="6" s="1"/>
  <c r="L285" i="6"/>
  <c r="S285" i="6" s="1"/>
  <c r="L286" i="6"/>
  <c r="S286" i="6" s="1"/>
  <c r="L287" i="6"/>
  <c r="S287" i="6" s="1"/>
  <c r="L288" i="6"/>
  <c r="S288" i="6" s="1"/>
  <c r="L289" i="6"/>
  <c r="S289" i="6" s="1"/>
  <c r="L290" i="6"/>
  <c r="L291" i="6"/>
  <c r="L292" i="6"/>
  <c r="L293" i="6"/>
  <c r="S293" i="6" s="1"/>
  <c r="L294" i="6"/>
  <c r="K294" i="6" s="1"/>
  <c r="M294" i="6" s="1"/>
  <c r="L295" i="6"/>
  <c r="S295" i="6" s="1"/>
  <c r="L296" i="6"/>
  <c r="S296" i="6" s="1"/>
  <c r="L297" i="6"/>
  <c r="S297" i="6" s="1"/>
  <c r="L298" i="6"/>
  <c r="L299" i="6"/>
  <c r="L300" i="6"/>
  <c r="L301" i="6"/>
  <c r="L302" i="6"/>
  <c r="S302" i="6" s="1"/>
  <c r="L303" i="6"/>
  <c r="S303" i="6" s="1"/>
  <c r="L304" i="6"/>
  <c r="S304" i="6" s="1"/>
  <c r="L305" i="6"/>
  <c r="S305" i="6" s="1"/>
  <c r="L306" i="6"/>
  <c r="L307" i="6"/>
  <c r="S307" i="6" s="1"/>
  <c r="L308" i="6"/>
  <c r="S308" i="6" s="1"/>
  <c r="L309" i="6"/>
  <c r="S309" i="6" s="1"/>
  <c r="L310" i="6"/>
  <c r="S310" i="6" s="1"/>
  <c r="L311" i="6"/>
  <c r="S311" i="6" s="1"/>
  <c r="L312" i="6"/>
  <c r="S312" i="6" s="1"/>
  <c r="L313" i="6"/>
  <c r="S313" i="6" s="1"/>
  <c r="L314" i="6"/>
  <c r="S314" i="6" s="1"/>
  <c r="L315" i="6"/>
  <c r="S315" i="6" s="1"/>
  <c r="L316" i="6"/>
  <c r="L317" i="6"/>
  <c r="L318" i="6"/>
  <c r="S318" i="6" s="1"/>
  <c r="L319" i="6"/>
  <c r="L320" i="6"/>
  <c r="L321" i="6"/>
  <c r="S321" i="6" s="1"/>
  <c r="L322" i="6"/>
  <c r="L323" i="6"/>
  <c r="S323" i="6" s="1"/>
  <c r="L324" i="6"/>
  <c r="S324" i="6" s="1"/>
  <c r="L325" i="6"/>
  <c r="L326" i="6"/>
  <c r="L327" i="6"/>
  <c r="L328" i="6"/>
  <c r="L329" i="6"/>
  <c r="L330" i="6"/>
  <c r="L331" i="6"/>
  <c r="S331" i="6" s="1"/>
  <c r="L332" i="6"/>
  <c r="L333" i="6"/>
  <c r="L334" i="6"/>
  <c r="S334" i="6" s="1"/>
  <c r="L335" i="6"/>
  <c r="S335" i="6" s="1"/>
  <c r="L336" i="6"/>
  <c r="S336" i="6" s="1"/>
  <c r="L337" i="6"/>
  <c r="S337" i="6" s="1"/>
  <c r="L338" i="6"/>
  <c r="L339" i="6"/>
  <c r="L340" i="6"/>
  <c r="L341" i="6"/>
  <c r="L342" i="6"/>
  <c r="S342" i="6" s="1"/>
  <c r="L343" i="6"/>
  <c r="S343" i="6" s="1"/>
  <c r="L344" i="6"/>
  <c r="S344" i="6" s="1"/>
  <c r="L345" i="6"/>
  <c r="L346" i="6"/>
  <c r="L347" i="6"/>
  <c r="L348" i="6"/>
  <c r="S348" i="6" s="1"/>
  <c r="L349" i="6"/>
  <c r="S349" i="6" s="1"/>
  <c r="L350" i="6"/>
  <c r="S350" i="6" s="1"/>
  <c r="L351" i="6"/>
  <c r="S351" i="6" s="1"/>
  <c r="L352" i="6"/>
  <c r="L353" i="6"/>
  <c r="S353" i="6" s="1"/>
  <c r="L354" i="6"/>
  <c r="L355" i="6"/>
  <c r="L356" i="6"/>
  <c r="L357" i="6"/>
  <c r="K357" i="6" s="1"/>
  <c r="M357" i="6" s="1"/>
  <c r="L358" i="6"/>
  <c r="S358" i="6" s="1"/>
  <c r="L359" i="6"/>
  <c r="S359" i="6" s="1"/>
  <c r="L360" i="6"/>
  <c r="S360" i="6" s="1"/>
  <c r="L361" i="6"/>
  <c r="S361" i="6" s="1"/>
  <c r="L362" i="6"/>
  <c r="L363" i="6"/>
  <c r="S363" i="6" s="1"/>
  <c r="L364" i="6"/>
  <c r="S364" i="6" s="1"/>
  <c r="L365" i="6"/>
  <c r="K365" i="6" s="1"/>
  <c r="M365" i="6" s="1"/>
  <c r="L366" i="6"/>
  <c r="K366" i="6" s="1"/>
  <c r="M366" i="6" s="1"/>
  <c r="L367" i="6"/>
  <c r="S367" i="6" s="1"/>
  <c r="L368" i="6"/>
  <c r="S368" i="6" s="1"/>
  <c r="L369" i="6"/>
  <c r="L370" i="6"/>
  <c r="L371" i="6"/>
  <c r="L372" i="6"/>
  <c r="L373" i="6"/>
  <c r="S373" i="6" s="1"/>
  <c r="L374" i="6"/>
  <c r="S374" i="6" s="1"/>
  <c r="L375" i="6"/>
  <c r="S375" i="6" s="1"/>
  <c r="L376" i="6"/>
  <c r="S376" i="6" s="1"/>
  <c r="L377" i="6"/>
  <c r="S377" i="6" s="1"/>
  <c r="L378" i="6"/>
  <c r="R378" i="6" s="1"/>
  <c r="L379" i="6"/>
  <c r="L380" i="6"/>
  <c r="L381" i="6"/>
  <c r="K381" i="6" s="1"/>
  <c r="R381" i="6" s="1"/>
  <c r="L382" i="6"/>
  <c r="K382" i="6" s="1"/>
  <c r="M382" i="6" s="1"/>
  <c r="L383" i="6"/>
  <c r="L384" i="6"/>
  <c r="L385" i="6"/>
  <c r="L386" i="6"/>
  <c r="L387" i="6"/>
  <c r="L388" i="6"/>
  <c r="S388" i="6" s="1"/>
  <c r="L389" i="6"/>
  <c r="S389" i="6" s="1"/>
  <c r="L390" i="6"/>
  <c r="S390" i="6" s="1"/>
  <c r="L391" i="6"/>
  <c r="L392" i="6"/>
  <c r="S392" i="6" s="1"/>
  <c r="L393" i="6"/>
  <c r="L394" i="6"/>
  <c r="L395" i="6"/>
  <c r="S395" i="6" s="1"/>
  <c r="L396" i="6"/>
  <c r="S396" i="6" s="1"/>
  <c r="L397" i="6"/>
  <c r="S397" i="6" s="1"/>
  <c r="L398" i="6"/>
  <c r="S398" i="6" s="1"/>
  <c r="L399" i="6"/>
  <c r="L400" i="6"/>
  <c r="S400" i="6" s="1"/>
  <c r="L401" i="6"/>
  <c r="S13" i="6"/>
  <c r="S16" i="6"/>
  <c r="S21" i="6"/>
  <c r="S22" i="6"/>
  <c r="S25" i="6"/>
  <c r="S32" i="6"/>
  <c r="S40" i="6"/>
  <c r="S41" i="6"/>
  <c r="S43" i="6"/>
  <c r="S48" i="6"/>
  <c r="S49" i="6"/>
  <c r="S51" i="6"/>
  <c r="S57" i="6"/>
  <c r="S61" i="6"/>
  <c r="S68" i="6"/>
  <c r="S69" i="6"/>
  <c r="S76" i="6"/>
  <c r="S77" i="6"/>
  <c r="S84" i="6"/>
  <c r="S85" i="6"/>
  <c r="S93" i="6"/>
  <c r="S96" i="6"/>
  <c r="S104" i="6"/>
  <c r="S112" i="6"/>
  <c r="S115" i="6"/>
  <c r="S121" i="6"/>
  <c r="S124" i="6"/>
  <c r="S129" i="6"/>
  <c r="S133" i="6"/>
  <c r="S140" i="6"/>
  <c r="S147" i="6"/>
  <c r="S148" i="6"/>
  <c r="S169" i="6"/>
  <c r="S172" i="6"/>
  <c r="S177" i="6"/>
  <c r="S187" i="6"/>
  <c r="S196" i="6"/>
  <c r="S200" i="6"/>
  <c r="S206" i="6"/>
  <c r="S216" i="6"/>
  <c r="S219" i="6"/>
  <c r="S227" i="6"/>
  <c r="S228" i="6"/>
  <c r="S246" i="6"/>
  <c r="S265" i="6"/>
  <c r="S275" i="6"/>
  <c r="S276" i="6"/>
  <c r="S283" i="6"/>
  <c r="S291" i="6"/>
  <c r="S292" i="6"/>
  <c r="S299" i="6"/>
  <c r="S300" i="6"/>
  <c r="S316" i="6"/>
  <c r="S317" i="6"/>
  <c r="S319" i="6"/>
  <c r="S328" i="6"/>
  <c r="S329" i="6"/>
  <c r="S339" i="6"/>
  <c r="S340" i="6"/>
  <c r="S347" i="6"/>
  <c r="S355" i="6"/>
  <c r="S356" i="6"/>
  <c r="S357" i="6"/>
  <c r="S369" i="6"/>
  <c r="S371" i="6"/>
  <c r="S379" i="6"/>
  <c r="S380" i="6"/>
  <c r="S381" i="6"/>
  <c r="S382" i="6"/>
  <c r="S383" i="6"/>
  <c r="S401" i="6"/>
  <c r="S3" i="6"/>
  <c r="S4" i="6"/>
  <c r="S5" i="6"/>
  <c r="S8" i="6"/>
  <c r="S9" i="6"/>
  <c r="S11" i="6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" i="4"/>
  <c r="I21" i="4"/>
  <c r="I26" i="4"/>
  <c r="I35" i="4"/>
  <c r="I46" i="4"/>
  <c r="I47" i="4"/>
  <c r="I52" i="4"/>
  <c r="I54" i="4"/>
  <c r="I59" i="4"/>
  <c r="I63" i="4"/>
  <c r="I66" i="4"/>
  <c r="I70" i="4"/>
  <c r="I74" i="4"/>
  <c r="I76" i="4"/>
  <c r="I79" i="4"/>
  <c r="I81" i="4"/>
  <c r="I85" i="4"/>
  <c r="I95" i="4"/>
  <c r="I97" i="4"/>
  <c r="I100" i="4"/>
  <c r="I104" i="4"/>
  <c r="I113" i="4"/>
  <c r="I116" i="4"/>
  <c r="I120" i="4"/>
  <c r="I123" i="4"/>
  <c r="I125" i="4"/>
  <c r="I150" i="4"/>
  <c r="I153" i="4"/>
  <c r="I158" i="4"/>
  <c r="I160" i="4"/>
  <c r="I161" i="4"/>
  <c r="I165" i="4"/>
  <c r="I176" i="4"/>
  <c r="I180" i="4"/>
  <c r="I186" i="4"/>
  <c r="I205" i="4"/>
  <c r="I212" i="4"/>
  <c r="I213" i="4"/>
  <c r="I214" i="4"/>
  <c r="I218" i="4"/>
  <c r="I226" i="4"/>
  <c r="I227" i="4"/>
  <c r="I229" i="4"/>
  <c r="I230" i="4"/>
  <c r="I234" i="4"/>
  <c r="I245" i="4"/>
  <c r="E13" i="8"/>
  <c r="P2" i="15" s="1"/>
  <c r="E6" i="8"/>
  <c r="M3" i="7"/>
  <c r="M9" i="7"/>
  <c r="M10" i="7"/>
  <c r="M13" i="7"/>
  <c r="M14" i="7"/>
  <c r="M16" i="7"/>
  <c r="M36" i="7"/>
  <c r="M37" i="7"/>
  <c r="M39" i="7"/>
  <c r="M41" i="7"/>
  <c r="M42" i="7"/>
  <c r="M46" i="7"/>
  <c r="M48" i="7"/>
  <c r="M55" i="7"/>
  <c r="M56" i="7"/>
  <c r="M60" i="7"/>
  <c r="M62" i="7"/>
  <c r="M76" i="7"/>
  <c r="M81" i="7"/>
  <c r="M87" i="7"/>
  <c r="M90" i="7"/>
  <c r="M91" i="7"/>
  <c r="M99" i="7"/>
  <c r="M109" i="7"/>
  <c r="M119" i="7"/>
  <c r="M120" i="7"/>
  <c r="M121" i="7"/>
  <c r="M125" i="7"/>
  <c r="M130" i="7"/>
  <c r="M131" i="7"/>
  <c r="M134" i="7"/>
  <c r="M139" i="7"/>
  <c r="M141" i="7"/>
  <c r="M146" i="7"/>
  <c r="M151" i="7"/>
  <c r="M154" i="7"/>
  <c r="M165" i="7"/>
  <c r="M168" i="7"/>
  <c r="M170" i="7"/>
  <c r="M174" i="7"/>
  <c r="M175" i="7"/>
  <c r="M192" i="7"/>
  <c r="M193" i="7"/>
  <c r="M194" i="7"/>
  <c r="M195" i="7"/>
  <c r="M196" i="7"/>
  <c r="M203" i="7"/>
  <c r="M207" i="7"/>
  <c r="M208" i="7"/>
  <c r="M209" i="7"/>
  <c r="M213" i="7"/>
  <c r="M219" i="7"/>
  <c r="M220" i="7"/>
  <c r="M222" i="7"/>
  <c r="M223" i="7"/>
  <c r="M226" i="7"/>
  <c r="M227" i="7"/>
  <c r="M228" i="7"/>
  <c r="M230" i="7"/>
  <c r="M232" i="7"/>
  <c r="M234" i="7"/>
  <c r="M236" i="7"/>
  <c r="M240" i="7"/>
  <c r="M244" i="7"/>
  <c r="M245" i="7"/>
  <c r="M251" i="7"/>
  <c r="M257" i="7"/>
  <c r="M261" i="7"/>
  <c r="M263" i="7"/>
  <c r="M264" i="7"/>
  <c r="M273" i="7"/>
  <c r="M282" i="7"/>
  <c r="M297" i="7"/>
  <c r="M300" i="7"/>
  <c r="J7" i="7"/>
  <c r="M7" i="7" s="1"/>
  <c r="J23" i="7"/>
  <c r="M23" i="7" s="1"/>
  <c r="J31" i="7"/>
  <c r="M31" i="7" s="1"/>
  <c r="J47" i="7"/>
  <c r="M47" i="7" s="1"/>
  <c r="J63" i="7"/>
  <c r="M63" i="7" s="1"/>
  <c r="J71" i="7"/>
  <c r="M71" i="7" s="1"/>
  <c r="J79" i="7"/>
  <c r="M79" i="7" s="1"/>
  <c r="J95" i="7"/>
  <c r="M95" i="7" s="1"/>
  <c r="J103" i="7"/>
  <c r="M103" i="7" s="1"/>
  <c r="J111" i="7"/>
  <c r="M111" i="7" s="1"/>
  <c r="J127" i="7"/>
  <c r="M127" i="7" s="1"/>
  <c r="J135" i="7"/>
  <c r="M135" i="7" s="1"/>
  <c r="J143" i="7"/>
  <c r="M143" i="7" s="1"/>
  <c r="J159" i="7"/>
  <c r="M159" i="7" s="1"/>
  <c r="J167" i="7"/>
  <c r="M167" i="7" s="1"/>
  <c r="J183" i="7"/>
  <c r="M183" i="7" s="1"/>
  <c r="J191" i="7"/>
  <c r="M191" i="7" s="1"/>
  <c r="J199" i="7"/>
  <c r="M199" i="7" s="1"/>
  <c r="J215" i="7"/>
  <c r="M215" i="7" s="1"/>
  <c r="J231" i="7"/>
  <c r="M231" i="7" s="1"/>
  <c r="J239" i="7"/>
  <c r="M239" i="7" s="1"/>
  <c r="J247" i="7"/>
  <c r="M247" i="7" s="1"/>
  <c r="J252" i="7"/>
  <c r="M252" i="7" s="1"/>
  <c r="J260" i="7"/>
  <c r="M260" i="7" s="1"/>
  <c r="J268" i="7"/>
  <c r="M268" i="7" s="1"/>
  <c r="J271" i="7"/>
  <c r="M271" i="7" s="1"/>
  <c r="J276" i="7"/>
  <c r="M276" i="7" s="1"/>
  <c r="J279" i="7"/>
  <c r="M279" i="7" s="1"/>
  <c r="J284" i="7"/>
  <c r="M284" i="7" s="1"/>
  <c r="J287" i="7"/>
  <c r="M287" i="7" s="1"/>
  <c r="J292" i="7"/>
  <c r="M292" i="7" s="1"/>
  <c r="J295" i="7"/>
  <c r="M295" i="7" s="1"/>
  <c r="J298" i="7"/>
  <c r="M298" i="7" s="1"/>
  <c r="G3" i="7"/>
  <c r="K3" i="7" s="1"/>
  <c r="L3" i="7" s="1"/>
  <c r="G4" i="7"/>
  <c r="K4" i="7" s="1"/>
  <c r="L4" i="7" s="1"/>
  <c r="G5" i="7"/>
  <c r="G6" i="7"/>
  <c r="G7" i="7"/>
  <c r="G8" i="7"/>
  <c r="G9" i="7"/>
  <c r="K9" i="7" s="1"/>
  <c r="L9" i="7" s="1"/>
  <c r="G10" i="7"/>
  <c r="K10" i="7" s="1"/>
  <c r="L10" i="7" s="1"/>
  <c r="G11" i="7"/>
  <c r="K11" i="7" s="1"/>
  <c r="L11" i="7" s="1"/>
  <c r="G12" i="7"/>
  <c r="G13" i="7"/>
  <c r="K13" i="7" s="1"/>
  <c r="L13" i="7" s="1"/>
  <c r="G14" i="7"/>
  <c r="K14" i="7" s="1"/>
  <c r="L14" i="7" s="1"/>
  <c r="G15" i="7"/>
  <c r="K15" i="7" s="1"/>
  <c r="L15" i="7" s="1"/>
  <c r="G16" i="7"/>
  <c r="K16" i="7" s="1"/>
  <c r="L16" i="7" s="1"/>
  <c r="G17" i="7"/>
  <c r="K17" i="7" s="1"/>
  <c r="L17" i="7" s="1"/>
  <c r="G18" i="7"/>
  <c r="G19" i="7"/>
  <c r="K19" i="7" s="1"/>
  <c r="L19" i="7" s="1"/>
  <c r="G20" i="7"/>
  <c r="K20" i="7" s="1"/>
  <c r="L20" i="7" s="1"/>
  <c r="G21" i="7"/>
  <c r="G22" i="7"/>
  <c r="G23" i="7"/>
  <c r="G24" i="7"/>
  <c r="G25" i="7"/>
  <c r="K25" i="7" s="1"/>
  <c r="L25" i="7" s="1"/>
  <c r="G26" i="7"/>
  <c r="G27" i="7"/>
  <c r="K27" i="7" s="1"/>
  <c r="L27" i="7" s="1"/>
  <c r="G28" i="7"/>
  <c r="K28" i="7" s="1"/>
  <c r="L28" i="7" s="1"/>
  <c r="G29" i="7"/>
  <c r="G30" i="7"/>
  <c r="G31" i="7"/>
  <c r="G32" i="7"/>
  <c r="G33" i="7"/>
  <c r="K33" i="7" s="1"/>
  <c r="L33" i="7" s="1"/>
  <c r="G34" i="7"/>
  <c r="G35" i="7"/>
  <c r="K35" i="7" s="1"/>
  <c r="L35" i="7" s="1"/>
  <c r="G36" i="7"/>
  <c r="K36" i="7" s="1"/>
  <c r="L36" i="7" s="1"/>
  <c r="G37" i="7"/>
  <c r="K37" i="7" s="1"/>
  <c r="L37" i="7" s="1"/>
  <c r="G38" i="7"/>
  <c r="G39" i="7"/>
  <c r="K39" i="7" s="1"/>
  <c r="L39" i="7" s="1"/>
  <c r="G40" i="7"/>
  <c r="G41" i="7"/>
  <c r="K41" i="7" s="1"/>
  <c r="L41" i="7" s="1"/>
  <c r="G42" i="7"/>
  <c r="K42" i="7" s="1"/>
  <c r="L42" i="7" s="1"/>
  <c r="G43" i="7"/>
  <c r="K43" i="7" s="1"/>
  <c r="L43" i="7" s="1"/>
  <c r="G44" i="7"/>
  <c r="K44" i="7" s="1"/>
  <c r="L44" i="7" s="1"/>
  <c r="G45" i="7"/>
  <c r="G46" i="7"/>
  <c r="K46" i="7" s="1"/>
  <c r="L46" i="7" s="1"/>
  <c r="G47" i="7"/>
  <c r="G48" i="7"/>
  <c r="K48" i="7" s="1"/>
  <c r="L48" i="7" s="1"/>
  <c r="G49" i="7"/>
  <c r="K49" i="7" s="1"/>
  <c r="L49" i="7" s="1"/>
  <c r="G50" i="7"/>
  <c r="G51" i="7"/>
  <c r="K51" i="7" s="1"/>
  <c r="L51" i="7" s="1"/>
  <c r="G52" i="7"/>
  <c r="K52" i="7" s="1"/>
  <c r="L52" i="7" s="1"/>
  <c r="G53" i="7"/>
  <c r="G54" i="7"/>
  <c r="G55" i="7"/>
  <c r="K55" i="7" s="1"/>
  <c r="L55" i="7" s="1"/>
  <c r="G56" i="7"/>
  <c r="K56" i="7" s="1"/>
  <c r="L56" i="7" s="1"/>
  <c r="G57" i="7"/>
  <c r="K57" i="7" s="1"/>
  <c r="L57" i="7" s="1"/>
  <c r="G58" i="7"/>
  <c r="G59" i="7"/>
  <c r="K59" i="7" s="1"/>
  <c r="L59" i="7" s="1"/>
  <c r="G60" i="7"/>
  <c r="K60" i="7" s="1"/>
  <c r="L60" i="7" s="1"/>
  <c r="G61" i="7"/>
  <c r="G62" i="7"/>
  <c r="K62" i="7" s="1"/>
  <c r="L62" i="7" s="1"/>
  <c r="G63" i="7"/>
  <c r="G64" i="7"/>
  <c r="G65" i="7"/>
  <c r="K65" i="7" s="1"/>
  <c r="L65" i="7" s="1"/>
  <c r="G66" i="7"/>
  <c r="G67" i="7"/>
  <c r="K67" i="7" s="1"/>
  <c r="L67" i="7" s="1"/>
  <c r="G68" i="7"/>
  <c r="G69" i="7"/>
  <c r="G70" i="7"/>
  <c r="G71" i="7"/>
  <c r="G72" i="7"/>
  <c r="G73" i="7"/>
  <c r="K73" i="7" s="1"/>
  <c r="L73" i="7" s="1"/>
  <c r="G74" i="7"/>
  <c r="G75" i="7"/>
  <c r="K75" i="7" s="1"/>
  <c r="L75" i="7" s="1"/>
  <c r="G76" i="7"/>
  <c r="G77" i="7"/>
  <c r="G78" i="7"/>
  <c r="G79" i="7"/>
  <c r="G80" i="7"/>
  <c r="G81" i="7"/>
  <c r="K81" i="7" s="1"/>
  <c r="L81" i="7" s="1"/>
  <c r="G82" i="7"/>
  <c r="G83" i="7"/>
  <c r="K83" i="7" s="1"/>
  <c r="L83" i="7" s="1"/>
  <c r="G84" i="7"/>
  <c r="K84" i="7" s="1"/>
  <c r="L84" i="7" s="1"/>
  <c r="G85" i="7"/>
  <c r="G86" i="7"/>
  <c r="G87" i="7"/>
  <c r="K87" i="7" s="1"/>
  <c r="L87" i="7" s="1"/>
  <c r="G88" i="7"/>
  <c r="G89" i="7"/>
  <c r="K89" i="7" s="1"/>
  <c r="L89" i="7" s="1"/>
  <c r="G90" i="7"/>
  <c r="K90" i="7" s="1"/>
  <c r="L90" i="7" s="1"/>
  <c r="G91" i="7"/>
  <c r="K91" i="7" s="1"/>
  <c r="L91" i="7" s="1"/>
  <c r="G92" i="7"/>
  <c r="K92" i="7" s="1"/>
  <c r="L92" i="7" s="1"/>
  <c r="G93" i="7"/>
  <c r="G94" i="7"/>
  <c r="G95" i="7"/>
  <c r="G96" i="7"/>
  <c r="G97" i="7"/>
  <c r="K97" i="7" s="1"/>
  <c r="L97" i="7" s="1"/>
  <c r="G98" i="7"/>
  <c r="G99" i="7"/>
  <c r="K99" i="7" s="1"/>
  <c r="L99" i="7" s="1"/>
  <c r="G100" i="7"/>
  <c r="K100" i="7" s="1"/>
  <c r="L100" i="7" s="1"/>
  <c r="G101" i="7"/>
  <c r="G102" i="7"/>
  <c r="G103" i="7"/>
  <c r="G104" i="7"/>
  <c r="G105" i="7"/>
  <c r="K105" i="7" s="1"/>
  <c r="L105" i="7" s="1"/>
  <c r="G106" i="7"/>
  <c r="G107" i="7"/>
  <c r="K107" i="7" s="1"/>
  <c r="L107" i="7" s="1"/>
  <c r="G108" i="7"/>
  <c r="K108" i="7" s="1"/>
  <c r="L108" i="7" s="1"/>
  <c r="G109" i="7"/>
  <c r="K109" i="7" s="1"/>
  <c r="L109" i="7" s="1"/>
  <c r="G110" i="7"/>
  <c r="G111" i="7"/>
  <c r="G112" i="7"/>
  <c r="G113" i="7"/>
  <c r="K113" i="7" s="1"/>
  <c r="L113" i="7" s="1"/>
  <c r="G114" i="7"/>
  <c r="G115" i="7"/>
  <c r="K115" i="7" s="1"/>
  <c r="L115" i="7" s="1"/>
  <c r="G116" i="7"/>
  <c r="K116" i="7" s="1"/>
  <c r="L116" i="7" s="1"/>
  <c r="G117" i="7"/>
  <c r="G118" i="7"/>
  <c r="G119" i="7"/>
  <c r="K119" i="7" s="1"/>
  <c r="L119" i="7" s="1"/>
  <c r="G120" i="7"/>
  <c r="K120" i="7" s="1"/>
  <c r="L120" i="7" s="1"/>
  <c r="G121" i="7"/>
  <c r="K121" i="7" s="1"/>
  <c r="L121" i="7" s="1"/>
  <c r="G122" i="7"/>
  <c r="G123" i="7"/>
  <c r="K123" i="7" s="1"/>
  <c r="L123" i="7" s="1"/>
  <c r="G124" i="7"/>
  <c r="K124" i="7" s="1"/>
  <c r="L124" i="7" s="1"/>
  <c r="G125" i="7"/>
  <c r="G126" i="7"/>
  <c r="G127" i="7"/>
  <c r="G128" i="7"/>
  <c r="G129" i="7"/>
  <c r="K129" i="7" s="1"/>
  <c r="L129" i="7" s="1"/>
  <c r="G130" i="7"/>
  <c r="K130" i="7" s="1"/>
  <c r="L130" i="7" s="1"/>
  <c r="G131" i="7"/>
  <c r="K131" i="7" s="1"/>
  <c r="L131" i="7" s="1"/>
  <c r="G132" i="7"/>
  <c r="K132" i="7" s="1"/>
  <c r="L132" i="7" s="1"/>
  <c r="G133" i="7"/>
  <c r="G134" i="7"/>
  <c r="K134" i="7" s="1"/>
  <c r="L134" i="7" s="1"/>
  <c r="G135" i="7"/>
  <c r="G136" i="7"/>
  <c r="G137" i="7"/>
  <c r="K137" i="7" s="1"/>
  <c r="L137" i="7" s="1"/>
  <c r="G138" i="7"/>
  <c r="G139" i="7"/>
  <c r="K139" i="7" s="1"/>
  <c r="L139" i="7" s="1"/>
  <c r="G140" i="7"/>
  <c r="K140" i="7" s="1"/>
  <c r="L140" i="7" s="1"/>
  <c r="G141" i="7"/>
  <c r="K141" i="7" s="1"/>
  <c r="L141" i="7" s="1"/>
  <c r="G142" i="7"/>
  <c r="K142" i="7" s="1"/>
  <c r="L142" i="7" s="1"/>
  <c r="G143" i="7"/>
  <c r="G144" i="7"/>
  <c r="G145" i="7"/>
  <c r="K145" i="7" s="1"/>
  <c r="L145" i="7" s="1"/>
  <c r="G146" i="7"/>
  <c r="K146" i="7" s="1"/>
  <c r="L146" i="7" s="1"/>
  <c r="G147" i="7"/>
  <c r="K147" i="7" s="1"/>
  <c r="L147" i="7" s="1"/>
  <c r="G148" i="7"/>
  <c r="K148" i="7" s="1"/>
  <c r="L148" i="7" s="1"/>
  <c r="G149" i="7"/>
  <c r="G150" i="7"/>
  <c r="G151" i="7"/>
  <c r="K151" i="7" s="1"/>
  <c r="L151" i="7" s="1"/>
  <c r="G152" i="7"/>
  <c r="G153" i="7"/>
  <c r="K153" i="7" s="1"/>
  <c r="L153" i="7" s="1"/>
  <c r="G154" i="7"/>
  <c r="K154" i="7" s="1"/>
  <c r="L154" i="7" s="1"/>
  <c r="G155" i="7"/>
  <c r="K155" i="7" s="1"/>
  <c r="L155" i="7" s="1"/>
  <c r="G156" i="7"/>
  <c r="K156" i="7" s="1"/>
  <c r="L156" i="7" s="1"/>
  <c r="G157" i="7"/>
  <c r="G158" i="7"/>
  <c r="G159" i="7"/>
  <c r="G160" i="7"/>
  <c r="G161" i="7"/>
  <c r="K161" i="7" s="1"/>
  <c r="L161" i="7" s="1"/>
  <c r="G162" i="7"/>
  <c r="G163" i="7"/>
  <c r="K163" i="7" s="1"/>
  <c r="L163" i="7" s="1"/>
  <c r="G164" i="7"/>
  <c r="G165" i="7"/>
  <c r="K165" i="7" s="1"/>
  <c r="L165" i="7" s="1"/>
  <c r="G166" i="7"/>
  <c r="G167" i="7"/>
  <c r="G168" i="7"/>
  <c r="K168" i="7" s="1"/>
  <c r="L168" i="7" s="1"/>
  <c r="G169" i="7"/>
  <c r="K169" i="7" s="1"/>
  <c r="L169" i="7" s="1"/>
  <c r="G170" i="7"/>
  <c r="K170" i="7" s="1"/>
  <c r="L170" i="7" s="1"/>
  <c r="G171" i="7"/>
  <c r="K171" i="7" s="1"/>
  <c r="L171" i="7" s="1"/>
  <c r="G172" i="7"/>
  <c r="K172" i="7" s="1"/>
  <c r="L172" i="7" s="1"/>
  <c r="G173" i="7"/>
  <c r="G174" i="7"/>
  <c r="K174" i="7" s="1"/>
  <c r="L174" i="7" s="1"/>
  <c r="G175" i="7"/>
  <c r="K175" i="7" s="1"/>
  <c r="L175" i="7" s="1"/>
  <c r="G176" i="7"/>
  <c r="G177" i="7"/>
  <c r="K177" i="7" s="1"/>
  <c r="L177" i="7" s="1"/>
  <c r="G178" i="7"/>
  <c r="G179" i="7"/>
  <c r="G180" i="7"/>
  <c r="K180" i="7" s="1"/>
  <c r="L180" i="7" s="1"/>
  <c r="G181" i="7"/>
  <c r="G182" i="7"/>
  <c r="G183" i="7"/>
  <c r="G184" i="7"/>
  <c r="G185" i="7"/>
  <c r="K185" i="7" s="1"/>
  <c r="L185" i="7" s="1"/>
  <c r="G186" i="7"/>
  <c r="G187" i="7"/>
  <c r="K187" i="7" s="1"/>
  <c r="L187" i="7" s="1"/>
  <c r="G188" i="7"/>
  <c r="K188" i="7" s="1"/>
  <c r="L188" i="7" s="1"/>
  <c r="G189" i="7"/>
  <c r="G190" i="7"/>
  <c r="G191" i="7"/>
  <c r="G192" i="7"/>
  <c r="G193" i="7"/>
  <c r="K193" i="7" s="1"/>
  <c r="L193" i="7" s="1"/>
  <c r="G194" i="7"/>
  <c r="K194" i="7" s="1"/>
  <c r="L194" i="7" s="1"/>
  <c r="G195" i="7"/>
  <c r="K195" i="7" s="1"/>
  <c r="L195" i="7" s="1"/>
  <c r="G196" i="7"/>
  <c r="K196" i="7" s="1"/>
  <c r="L196" i="7" s="1"/>
  <c r="G197" i="7"/>
  <c r="G198" i="7"/>
  <c r="G199" i="7"/>
  <c r="G200" i="7"/>
  <c r="G201" i="7"/>
  <c r="K201" i="7" s="1"/>
  <c r="L201" i="7" s="1"/>
  <c r="G202" i="7"/>
  <c r="G203" i="7"/>
  <c r="K203" i="7" s="1"/>
  <c r="L203" i="7" s="1"/>
  <c r="G204" i="7"/>
  <c r="K204" i="7" s="1"/>
  <c r="L204" i="7" s="1"/>
  <c r="G205" i="7"/>
  <c r="G206" i="7"/>
  <c r="G207" i="7"/>
  <c r="K207" i="7" s="1"/>
  <c r="L207" i="7" s="1"/>
  <c r="G208" i="7"/>
  <c r="K208" i="7" s="1"/>
  <c r="L208" i="7" s="1"/>
  <c r="G209" i="7"/>
  <c r="K209" i="7" s="1"/>
  <c r="L209" i="7" s="1"/>
  <c r="G210" i="7"/>
  <c r="G211" i="7"/>
  <c r="K211" i="7" s="1"/>
  <c r="L211" i="7" s="1"/>
  <c r="G212" i="7"/>
  <c r="K212" i="7" s="1"/>
  <c r="L212" i="7" s="1"/>
  <c r="G213" i="7"/>
  <c r="K213" i="7" s="1"/>
  <c r="L213" i="7" s="1"/>
  <c r="G214" i="7"/>
  <c r="G215" i="7"/>
  <c r="G216" i="7"/>
  <c r="G217" i="7"/>
  <c r="K217" i="7" s="1"/>
  <c r="L217" i="7" s="1"/>
  <c r="G218" i="7"/>
  <c r="G219" i="7"/>
  <c r="K219" i="7" s="1"/>
  <c r="L219" i="7" s="1"/>
  <c r="G220" i="7"/>
  <c r="K220" i="7" s="1"/>
  <c r="L220" i="7" s="1"/>
  <c r="G221" i="7"/>
  <c r="G222" i="7"/>
  <c r="K222" i="7" s="1"/>
  <c r="L222" i="7" s="1"/>
  <c r="G223" i="7"/>
  <c r="K223" i="7" s="1"/>
  <c r="L223" i="7" s="1"/>
  <c r="G224" i="7"/>
  <c r="G225" i="7"/>
  <c r="K225" i="7" s="1"/>
  <c r="L225" i="7" s="1"/>
  <c r="G226" i="7"/>
  <c r="K226" i="7" s="1"/>
  <c r="L226" i="7" s="1"/>
  <c r="G227" i="7"/>
  <c r="K227" i="7" s="1"/>
  <c r="L227" i="7" s="1"/>
  <c r="G228" i="7"/>
  <c r="K228" i="7" s="1"/>
  <c r="L228" i="7" s="1"/>
  <c r="G229" i="7"/>
  <c r="G230" i="7"/>
  <c r="K230" i="7" s="1"/>
  <c r="L230" i="7" s="1"/>
  <c r="G231" i="7"/>
  <c r="G232" i="7"/>
  <c r="K232" i="7" s="1"/>
  <c r="L232" i="7" s="1"/>
  <c r="G233" i="7"/>
  <c r="G234" i="7"/>
  <c r="K234" i="7" s="1"/>
  <c r="L234" i="7" s="1"/>
  <c r="G235" i="7"/>
  <c r="K235" i="7" s="1"/>
  <c r="L235" i="7" s="1"/>
  <c r="G236" i="7"/>
  <c r="K236" i="7" s="1"/>
  <c r="L236" i="7" s="1"/>
  <c r="G237" i="7"/>
  <c r="G238" i="7"/>
  <c r="G239" i="7"/>
  <c r="G240" i="7"/>
  <c r="K240" i="7" s="1"/>
  <c r="L240" i="7" s="1"/>
  <c r="G241" i="7"/>
  <c r="K241" i="7" s="1"/>
  <c r="L241" i="7" s="1"/>
  <c r="G242" i="7"/>
  <c r="G243" i="7"/>
  <c r="K243" i="7" s="1"/>
  <c r="L243" i="7" s="1"/>
  <c r="G244" i="7"/>
  <c r="K244" i="7" s="1"/>
  <c r="L244" i="7" s="1"/>
  <c r="G245" i="7"/>
  <c r="K245" i="7" s="1"/>
  <c r="L245" i="7" s="1"/>
  <c r="G246" i="7"/>
  <c r="G247" i="7"/>
  <c r="G248" i="7"/>
  <c r="G249" i="7"/>
  <c r="G250" i="7"/>
  <c r="G251" i="7"/>
  <c r="K251" i="7" s="1"/>
  <c r="L251" i="7" s="1"/>
  <c r="G252" i="7"/>
  <c r="G253" i="7"/>
  <c r="G254" i="7"/>
  <c r="G255" i="7"/>
  <c r="K255" i="7" s="1"/>
  <c r="L255" i="7" s="1"/>
  <c r="G256" i="7"/>
  <c r="G257" i="7"/>
  <c r="K257" i="7" s="1"/>
  <c r="L257" i="7" s="1"/>
  <c r="G258" i="7"/>
  <c r="G259" i="7"/>
  <c r="G260" i="7"/>
  <c r="G261" i="7"/>
  <c r="K261" i="7" s="1"/>
  <c r="L261" i="7" s="1"/>
  <c r="G262" i="7"/>
  <c r="G263" i="7"/>
  <c r="K263" i="7" s="1"/>
  <c r="L263" i="7" s="1"/>
  <c r="G264" i="7"/>
  <c r="K264" i="7" s="1"/>
  <c r="L264" i="7" s="1"/>
  <c r="G265" i="7"/>
  <c r="G266" i="7"/>
  <c r="G267" i="7"/>
  <c r="G268" i="7"/>
  <c r="G269" i="7"/>
  <c r="G270" i="7"/>
  <c r="G271" i="7"/>
  <c r="G272" i="7"/>
  <c r="G273" i="7"/>
  <c r="K273" i="7" s="1"/>
  <c r="L273" i="7" s="1"/>
  <c r="G274" i="7"/>
  <c r="G275" i="7"/>
  <c r="G276" i="7"/>
  <c r="G277" i="7"/>
  <c r="G278" i="7"/>
  <c r="G279" i="7"/>
  <c r="G280" i="7"/>
  <c r="G281" i="7"/>
  <c r="G282" i="7"/>
  <c r="K282" i="7" s="1"/>
  <c r="L282" i="7" s="1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K297" i="7" s="1"/>
  <c r="L297" i="7" s="1"/>
  <c r="G298" i="7"/>
  <c r="G299" i="7"/>
  <c r="G300" i="7"/>
  <c r="K300" i="7" s="1"/>
  <c r="L300" i="7" s="1"/>
  <c r="G2" i="7"/>
  <c r="J5" i="7"/>
  <c r="M5" i="7" s="1"/>
  <c r="J6" i="7"/>
  <c r="M6" i="7" s="1"/>
  <c r="J8" i="7"/>
  <c r="M8" i="7" s="1"/>
  <c r="K12" i="7"/>
  <c r="L12" i="7" s="1"/>
  <c r="J18" i="7"/>
  <c r="M18" i="7" s="1"/>
  <c r="J21" i="7"/>
  <c r="M21" i="7" s="1"/>
  <c r="J22" i="7"/>
  <c r="M22" i="7" s="1"/>
  <c r="J24" i="7"/>
  <c r="M24" i="7" s="1"/>
  <c r="J26" i="7"/>
  <c r="M26" i="7" s="1"/>
  <c r="J29" i="7"/>
  <c r="M29" i="7" s="1"/>
  <c r="J30" i="7"/>
  <c r="M30" i="7" s="1"/>
  <c r="J32" i="7"/>
  <c r="M32" i="7" s="1"/>
  <c r="J34" i="7"/>
  <c r="M34" i="7" s="1"/>
  <c r="J38" i="7"/>
  <c r="M38" i="7" s="1"/>
  <c r="J40" i="7"/>
  <c r="M40" i="7" s="1"/>
  <c r="J45" i="7"/>
  <c r="M45" i="7" s="1"/>
  <c r="J50" i="7"/>
  <c r="M50" i="7" s="1"/>
  <c r="J53" i="7"/>
  <c r="M53" i="7" s="1"/>
  <c r="J54" i="7"/>
  <c r="M54" i="7" s="1"/>
  <c r="J58" i="7"/>
  <c r="M58" i="7" s="1"/>
  <c r="J61" i="7"/>
  <c r="M61" i="7" s="1"/>
  <c r="J64" i="7"/>
  <c r="M64" i="7" s="1"/>
  <c r="J66" i="7"/>
  <c r="M66" i="7" s="1"/>
  <c r="K68" i="7"/>
  <c r="L68" i="7" s="1"/>
  <c r="J69" i="7"/>
  <c r="M69" i="7" s="1"/>
  <c r="J70" i="7"/>
  <c r="M70" i="7" s="1"/>
  <c r="J72" i="7"/>
  <c r="M72" i="7" s="1"/>
  <c r="J74" i="7"/>
  <c r="M74" i="7" s="1"/>
  <c r="K76" i="7"/>
  <c r="L76" i="7" s="1"/>
  <c r="J77" i="7"/>
  <c r="M77" i="7" s="1"/>
  <c r="J78" i="7"/>
  <c r="M78" i="7" s="1"/>
  <c r="J80" i="7"/>
  <c r="M80" i="7" s="1"/>
  <c r="J82" i="7"/>
  <c r="M82" i="7" s="1"/>
  <c r="J85" i="7"/>
  <c r="M85" i="7" s="1"/>
  <c r="J86" i="7"/>
  <c r="M86" i="7" s="1"/>
  <c r="J88" i="7"/>
  <c r="M88" i="7" s="1"/>
  <c r="J93" i="7"/>
  <c r="M93" i="7" s="1"/>
  <c r="J94" i="7"/>
  <c r="M94" i="7" s="1"/>
  <c r="J96" i="7"/>
  <c r="M96" i="7" s="1"/>
  <c r="J98" i="7"/>
  <c r="M98" i="7" s="1"/>
  <c r="J101" i="7"/>
  <c r="M101" i="7" s="1"/>
  <c r="J102" i="7"/>
  <c r="M102" i="7" s="1"/>
  <c r="J104" i="7"/>
  <c r="M104" i="7" s="1"/>
  <c r="J106" i="7"/>
  <c r="M106" i="7" s="1"/>
  <c r="J110" i="7"/>
  <c r="M110" i="7" s="1"/>
  <c r="J112" i="7"/>
  <c r="M112" i="7" s="1"/>
  <c r="J114" i="7"/>
  <c r="M114" i="7" s="1"/>
  <c r="J117" i="7"/>
  <c r="M117" i="7" s="1"/>
  <c r="J118" i="7"/>
  <c r="M118" i="7" s="1"/>
  <c r="J122" i="7"/>
  <c r="M122" i="7" s="1"/>
  <c r="K125" i="7"/>
  <c r="L125" i="7" s="1"/>
  <c r="J126" i="7"/>
  <c r="M126" i="7" s="1"/>
  <c r="J128" i="7"/>
  <c r="M128" i="7" s="1"/>
  <c r="J133" i="7"/>
  <c r="M133" i="7" s="1"/>
  <c r="J136" i="7"/>
  <c r="M136" i="7" s="1"/>
  <c r="J138" i="7"/>
  <c r="M138" i="7" s="1"/>
  <c r="J144" i="7"/>
  <c r="M144" i="7" s="1"/>
  <c r="J149" i="7"/>
  <c r="M149" i="7" s="1"/>
  <c r="J150" i="7"/>
  <c r="M150" i="7" s="1"/>
  <c r="J152" i="7"/>
  <c r="M152" i="7" s="1"/>
  <c r="J157" i="7"/>
  <c r="M157" i="7" s="1"/>
  <c r="J158" i="7"/>
  <c r="M158" i="7" s="1"/>
  <c r="J160" i="7"/>
  <c r="M160" i="7" s="1"/>
  <c r="J162" i="7"/>
  <c r="M162" i="7" s="1"/>
  <c r="K164" i="7"/>
  <c r="L164" i="7" s="1"/>
  <c r="J166" i="7"/>
  <c r="M166" i="7" s="1"/>
  <c r="J173" i="7"/>
  <c r="M173" i="7" s="1"/>
  <c r="J176" i="7"/>
  <c r="M176" i="7" s="1"/>
  <c r="J178" i="7"/>
  <c r="M178" i="7" s="1"/>
  <c r="K179" i="7"/>
  <c r="L179" i="7" s="1"/>
  <c r="J181" i="7"/>
  <c r="M181" i="7" s="1"/>
  <c r="J182" i="7"/>
  <c r="M182" i="7" s="1"/>
  <c r="J184" i="7"/>
  <c r="M184" i="7" s="1"/>
  <c r="J186" i="7"/>
  <c r="M186" i="7" s="1"/>
  <c r="J189" i="7"/>
  <c r="M189" i="7" s="1"/>
  <c r="J190" i="7"/>
  <c r="M190" i="7" s="1"/>
  <c r="K192" i="7"/>
  <c r="L192" i="7" s="1"/>
  <c r="J197" i="7"/>
  <c r="M197" i="7" s="1"/>
  <c r="J198" i="7"/>
  <c r="M198" i="7" s="1"/>
  <c r="J200" i="7"/>
  <c r="M200" i="7" s="1"/>
  <c r="J202" i="7"/>
  <c r="M202" i="7" s="1"/>
  <c r="J205" i="7"/>
  <c r="M205" i="7" s="1"/>
  <c r="J206" i="7"/>
  <c r="M206" i="7" s="1"/>
  <c r="J210" i="7"/>
  <c r="M210" i="7" s="1"/>
  <c r="J214" i="7"/>
  <c r="M214" i="7" s="1"/>
  <c r="J216" i="7"/>
  <c r="M216" i="7" s="1"/>
  <c r="J218" i="7"/>
  <c r="M218" i="7" s="1"/>
  <c r="J221" i="7"/>
  <c r="M221" i="7" s="1"/>
  <c r="J224" i="7"/>
  <c r="M224" i="7" s="1"/>
  <c r="J229" i="7"/>
  <c r="M229" i="7" s="1"/>
  <c r="J233" i="7"/>
  <c r="M233" i="7" s="1"/>
  <c r="J237" i="7"/>
  <c r="M237" i="7" s="1"/>
  <c r="J238" i="7"/>
  <c r="M238" i="7" s="1"/>
  <c r="J242" i="7"/>
  <c r="M242" i="7" s="1"/>
  <c r="J246" i="7"/>
  <c r="M246" i="7" s="1"/>
  <c r="J248" i="7"/>
  <c r="M248" i="7" s="1"/>
  <c r="J249" i="7"/>
  <c r="M249" i="7" s="1"/>
  <c r="J250" i="7"/>
  <c r="M250" i="7" s="1"/>
  <c r="J253" i="7"/>
  <c r="M253" i="7" s="1"/>
  <c r="J254" i="7"/>
  <c r="M254" i="7" s="1"/>
  <c r="J256" i="7"/>
  <c r="M256" i="7" s="1"/>
  <c r="J258" i="7"/>
  <c r="M258" i="7" s="1"/>
  <c r="J259" i="7"/>
  <c r="M259" i="7" s="1"/>
  <c r="J262" i="7"/>
  <c r="M262" i="7" s="1"/>
  <c r="J265" i="7"/>
  <c r="M265" i="7" s="1"/>
  <c r="J266" i="7"/>
  <c r="M266" i="7" s="1"/>
  <c r="J267" i="7"/>
  <c r="M267" i="7" s="1"/>
  <c r="J269" i="7"/>
  <c r="M269" i="7" s="1"/>
  <c r="J270" i="7"/>
  <c r="M270" i="7" s="1"/>
  <c r="J272" i="7"/>
  <c r="M272" i="7" s="1"/>
  <c r="J274" i="7"/>
  <c r="M274" i="7" s="1"/>
  <c r="J275" i="7"/>
  <c r="M275" i="7" s="1"/>
  <c r="J277" i="7"/>
  <c r="M277" i="7" s="1"/>
  <c r="J278" i="7"/>
  <c r="M278" i="7" s="1"/>
  <c r="J280" i="7"/>
  <c r="M280" i="7" s="1"/>
  <c r="J281" i="7"/>
  <c r="M281" i="7" s="1"/>
  <c r="J283" i="7"/>
  <c r="M283" i="7" s="1"/>
  <c r="J285" i="7"/>
  <c r="M285" i="7" s="1"/>
  <c r="J286" i="7"/>
  <c r="M286" i="7" s="1"/>
  <c r="J288" i="7"/>
  <c r="M288" i="7" s="1"/>
  <c r="J289" i="7"/>
  <c r="M289" i="7" s="1"/>
  <c r="J290" i="7"/>
  <c r="M290" i="7" s="1"/>
  <c r="J291" i="7"/>
  <c r="M291" i="7" s="1"/>
  <c r="J293" i="7"/>
  <c r="M293" i="7" s="1"/>
  <c r="J294" i="7"/>
  <c r="M294" i="7" s="1"/>
  <c r="J296" i="7"/>
  <c r="M296" i="7" s="1"/>
  <c r="J299" i="7"/>
  <c r="M299" i="7" s="1"/>
  <c r="J2" i="7"/>
  <c r="M2" i="7" s="1"/>
  <c r="J67" i="7"/>
  <c r="M67" i="7" s="1"/>
  <c r="J105" i="7"/>
  <c r="M105" i="7" s="1"/>
  <c r="J115" i="7"/>
  <c r="M115" i="7" s="1"/>
  <c r="J163" i="7"/>
  <c r="M163" i="7" s="1"/>
  <c r="J185" i="7"/>
  <c r="M185" i="7" s="1"/>
  <c r="J27" i="7"/>
  <c r="M27" i="7" s="1"/>
  <c r="J3" i="7"/>
  <c r="J4" i="7"/>
  <c r="M4" i="7" s="1"/>
  <c r="J9" i="7"/>
  <c r="J10" i="7"/>
  <c r="J13" i="7"/>
  <c r="J14" i="7"/>
  <c r="J15" i="7"/>
  <c r="M15" i="7" s="1"/>
  <c r="J16" i="7"/>
  <c r="J20" i="7"/>
  <c r="M20" i="7" s="1"/>
  <c r="J36" i="7"/>
  <c r="J37" i="7"/>
  <c r="J39" i="7"/>
  <c r="J41" i="7"/>
  <c r="J42" i="7"/>
  <c r="J46" i="7"/>
  <c r="J48" i="7"/>
  <c r="J55" i="7"/>
  <c r="J56" i="7"/>
  <c r="J60" i="7"/>
  <c r="J62" i="7"/>
  <c r="J76" i="7"/>
  <c r="J81" i="7"/>
  <c r="J87" i="7"/>
  <c r="J90" i="7"/>
  <c r="J91" i="7"/>
  <c r="J99" i="7"/>
  <c r="J100" i="7"/>
  <c r="M100" i="7" s="1"/>
  <c r="J109" i="7"/>
  <c r="J119" i="7"/>
  <c r="J120" i="7"/>
  <c r="J121" i="7"/>
  <c r="J125" i="7"/>
  <c r="J130" i="7"/>
  <c r="J131" i="7"/>
  <c r="J134" i="7"/>
  <c r="J139" i="7"/>
  <c r="J141" i="7"/>
  <c r="J142" i="7"/>
  <c r="M142" i="7" s="1"/>
  <c r="J146" i="7"/>
  <c r="J151" i="7"/>
  <c r="J154" i="7"/>
  <c r="J156" i="7"/>
  <c r="M156" i="7" s="1"/>
  <c r="J165" i="7"/>
  <c r="J168" i="7"/>
  <c r="J170" i="7"/>
  <c r="J174" i="7"/>
  <c r="J175" i="7"/>
  <c r="J180" i="7"/>
  <c r="M180" i="7" s="1"/>
  <c r="J192" i="7"/>
  <c r="J193" i="7"/>
  <c r="J194" i="7"/>
  <c r="J195" i="7"/>
  <c r="J196" i="7"/>
  <c r="J203" i="7"/>
  <c r="J204" i="7"/>
  <c r="M204" i="7" s="1"/>
  <c r="J207" i="7"/>
  <c r="J208" i="7"/>
  <c r="J209" i="7"/>
  <c r="J213" i="7"/>
  <c r="J219" i="7"/>
  <c r="J220" i="7"/>
  <c r="J222" i="7"/>
  <c r="J223" i="7"/>
  <c r="J226" i="7"/>
  <c r="J227" i="7"/>
  <c r="J228" i="7"/>
  <c r="J230" i="7"/>
  <c r="J232" i="7"/>
  <c r="J234" i="7"/>
  <c r="J236" i="7"/>
  <c r="J240" i="7"/>
  <c r="J244" i="7"/>
  <c r="J245" i="7"/>
  <c r="J251" i="7"/>
  <c r="J257" i="7"/>
  <c r="J261" i="7"/>
  <c r="J263" i="7"/>
  <c r="J264" i="7"/>
  <c r="J273" i="7"/>
  <c r="J282" i="7"/>
  <c r="J297" i="7"/>
  <c r="J300" i="7"/>
  <c r="K5" i="6"/>
  <c r="M5" i="6" s="1"/>
  <c r="P5" i="6" s="1"/>
  <c r="K6" i="6"/>
  <c r="M6" i="6" s="1"/>
  <c r="P6" i="6" s="1"/>
  <c r="K7" i="6"/>
  <c r="M7" i="6" s="1"/>
  <c r="K8" i="6"/>
  <c r="M8" i="6" s="1"/>
  <c r="K9" i="6"/>
  <c r="M9" i="6" s="1"/>
  <c r="K13" i="6"/>
  <c r="M13" i="6" s="1"/>
  <c r="K15" i="6"/>
  <c r="M15" i="6" s="1"/>
  <c r="K16" i="6"/>
  <c r="M16" i="6" s="1"/>
  <c r="K17" i="6"/>
  <c r="M17" i="6" s="1"/>
  <c r="K19" i="6"/>
  <c r="M19" i="6" s="1"/>
  <c r="K20" i="6"/>
  <c r="M20" i="6" s="1"/>
  <c r="P20" i="6" s="1"/>
  <c r="K21" i="6"/>
  <c r="M21" i="6" s="1"/>
  <c r="K24" i="6"/>
  <c r="M24" i="6" s="1"/>
  <c r="K25" i="6"/>
  <c r="M25" i="6" s="1"/>
  <c r="K28" i="6"/>
  <c r="M28" i="6" s="1"/>
  <c r="K29" i="6"/>
  <c r="M29" i="6" s="1"/>
  <c r="P29" i="6" s="1"/>
  <c r="K31" i="6"/>
  <c r="M31" i="6" s="1"/>
  <c r="K32" i="6"/>
  <c r="M32" i="6" s="1"/>
  <c r="K33" i="6"/>
  <c r="M33" i="6" s="1"/>
  <c r="P33" i="6" s="1"/>
  <c r="K35" i="6"/>
  <c r="M35" i="6" s="1"/>
  <c r="K36" i="6"/>
  <c r="R36" i="6" s="1"/>
  <c r="K37" i="6"/>
  <c r="R37" i="6" s="1"/>
  <c r="K39" i="6"/>
  <c r="M39" i="6" s="1"/>
  <c r="K40" i="6"/>
  <c r="M40" i="6" s="1"/>
  <c r="K41" i="6"/>
  <c r="M41" i="6" s="1"/>
  <c r="K43" i="6"/>
  <c r="M43" i="6" s="1"/>
  <c r="K44" i="6"/>
  <c r="R44" i="6" s="1"/>
  <c r="I7" i="4" s="1"/>
  <c r="K45" i="6"/>
  <c r="M45" i="6" s="1"/>
  <c r="K47" i="6"/>
  <c r="M47" i="6" s="1"/>
  <c r="K48" i="6"/>
  <c r="M48" i="6" s="1"/>
  <c r="K49" i="6"/>
  <c r="M49" i="6" s="1"/>
  <c r="K51" i="6"/>
  <c r="M51" i="6" s="1"/>
  <c r="K52" i="6"/>
  <c r="M52" i="6" s="1"/>
  <c r="K53" i="6"/>
  <c r="M53" i="6" s="1"/>
  <c r="K55" i="6"/>
  <c r="M55" i="6" s="1"/>
  <c r="K56" i="6"/>
  <c r="M56" i="6" s="1"/>
  <c r="K57" i="6"/>
  <c r="M57" i="6" s="1"/>
  <c r="K60" i="6"/>
  <c r="M60" i="6" s="1"/>
  <c r="P60" i="6" s="1"/>
  <c r="K61" i="6"/>
  <c r="M61" i="6" s="1"/>
  <c r="K63" i="6"/>
  <c r="M63" i="6" s="1"/>
  <c r="K64" i="6"/>
  <c r="M64" i="6" s="1"/>
  <c r="K65" i="6"/>
  <c r="M65" i="6" s="1"/>
  <c r="K67" i="6"/>
  <c r="M67" i="6" s="1"/>
  <c r="K68" i="6"/>
  <c r="M68" i="6" s="1"/>
  <c r="K69" i="6"/>
  <c r="M69" i="6" s="1"/>
  <c r="K70" i="6"/>
  <c r="M70" i="6" s="1"/>
  <c r="K71" i="6"/>
  <c r="M71" i="6" s="1"/>
  <c r="K72" i="6"/>
  <c r="M72" i="6" s="1"/>
  <c r="K73" i="6"/>
  <c r="M73" i="6" s="1"/>
  <c r="P73" i="6" s="1"/>
  <c r="K75" i="6"/>
  <c r="M75" i="6" s="1"/>
  <c r="K76" i="6"/>
  <c r="M76" i="6" s="1"/>
  <c r="K77" i="6"/>
  <c r="M77" i="6" s="1"/>
  <c r="K78" i="6"/>
  <c r="M78" i="6" s="1"/>
  <c r="P78" i="6" s="1"/>
  <c r="K79" i="6"/>
  <c r="M79" i="6" s="1"/>
  <c r="K80" i="6"/>
  <c r="M80" i="6" s="1"/>
  <c r="K81" i="6"/>
  <c r="M81" i="6" s="1"/>
  <c r="K83" i="6"/>
  <c r="M83" i="6" s="1"/>
  <c r="P83" i="6" s="1"/>
  <c r="K84" i="6"/>
  <c r="M84" i="6" s="1"/>
  <c r="P84" i="6" s="1"/>
  <c r="K85" i="6"/>
  <c r="M85" i="6" s="1"/>
  <c r="K86" i="6"/>
  <c r="M86" i="6" s="1"/>
  <c r="K87" i="6"/>
  <c r="M87" i="6" s="1"/>
  <c r="K89" i="6"/>
  <c r="M89" i="6" s="1"/>
  <c r="P89" i="6" s="1"/>
  <c r="K91" i="6"/>
  <c r="M91" i="6" s="1"/>
  <c r="K92" i="6"/>
  <c r="M92" i="6" s="1"/>
  <c r="K93" i="6"/>
  <c r="M93" i="6" s="1"/>
  <c r="K95" i="6"/>
  <c r="M95" i="6" s="1"/>
  <c r="K96" i="6"/>
  <c r="M96" i="6" s="1"/>
  <c r="K97" i="6"/>
  <c r="M97" i="6" s="1"/>
  <c r="K99" i="6"/>
  <c r="M99" i="6" s="1"/>
  <c r="K100" i="6"/>
  <c r="M100" i="6" s="1"/>
  <c r="P100" i="6" s="1"/>
  <c r="K103" i="6"/>
  <c r="M103" i="6" s="1"/>
  <c r="P103" i="6" s="1"/>
  <c r="K104" i="6"/>
  <c r="M104" i="6" s="1"/>
  <c r="K105" i="6"/>
  <c r="M105" i="6" s="1"/>
  <c r="K107" i="6"/>
  <c r="M107" i="6" s="1"/>
  <c r="K108" i="6"/>
  <c r="M108" i="6" s="1"/>
  <c r="K109" i="6"/>
  <c r="M109" i="6" s="1"/>
  <c r="K111" i="6"/>
  <c r="M111" i="6" s="1"/>
  <c r="P111" i="6" s="1"/>
  <c r="K112" i="6"/>
  <c r="M112" i="6" s="1"/>
  <c r="K115" i="6"/>
  <c r="M115" i="6" s="1"/>
  <c r="K116" i="6"/>
  <c r="M116" i="6" s="1"/>
  <c r="K117" i="6"/>
  <c r="M117" i="6" s="1"/>
  <c r="P117" i="6" s="1"/>
  <c r="K119" i="6"/>
  <c r="M119" i="6" s="1"/>
  <c r="K120" i="6"/>
  <c r="R120" i="6" s="1"/>
  <c r="I86" i="4" s="1"/>
  <c r="K121" i="6"/>
  <c r="M121" i="6" s="1"/>
  <c r="K123" i="6"/>
  <c r="M123" i="6" s="1"/>
  <c r="K124" i="6"/>
  <c r="M124" i="6" s="1"/>
  <c r="K125" i="6"/>
  <c r="M125" i="6" s="1"/>
  <c r="K127" i="6"/>
  <c r="M127" i="6" s="1"/>
  <c r="K128" i="6"/>
  <c r="M128" i="6" s="1"/>
  <c r="K129" i="6"/>
  <c r="M129" i="6" s="1"/>
  <c r="P129" i="6" s="1"/>
  <c r="K131" i="6"/>
  <c r="M131" i="6" s="1"/>
  <c r="K133" i="6"/>
  <c r="M133" i="6" s="1"/>
  <c r="P133" i="6" s="1"/>
  <c r="K135" i="6"/>
  <c r="M135" i="6" s="1"/>
  <c r="K136" i="6"/>
  <c r="M136" i="6" s="1"/>
  <c r="K137" i="6"/>
  <c r="M137" i="6" s="1"/>
  <c r="K140" i="6"/>
  <c r="R140" i="6" s="1"/>
  <c r="K141" i="6"/>
  <c r="R141" i="6" s="1"/>
  <c r="K143" i="6"/>
  <c r="M143" i="6" s="1"/>
  <c r="K144" i="6"/>
  <c r="M144" i="6" s="1"/>
  <c r="K145" i="6"/>
  <c r="M145" i="6" s="1"/>
  <c r="P145" i="6" s="1"/>
  <c r="K147" i="6"/>
  <c r="M147" i="6" s="1"/>
  <c r="K148" i="6"/>
  <c r="M148" i="6" s="1"/>
  <c r="P148" i="6" s="1"/>
  <c r="K149" i="6"/>
  <c r="M149" i="6" s="1"/>
  <c r="K152" i="6"/>
  <c r="M152" i="6" s="1"/>
  <c r="K153" i="6"/>
  <c r="M153" i="6" s="1"/>
  <c r="K155" i="6"/>
  <c r="M155" i="6" s="1"/>
  <c r="K156" i="6"/>
  <c r="M156" i="6" s="1"/>
  <c r="K159" i="6"/>
  <c r="M159" i="6" s="1"/>
  <c r="P159" i="6" s="1"/>
  <c r="K160" i="6"/>
  <c r="M160" i="6" s="1"/>
  <c r="K163" i="6"/>
  <c r="M163" i="6" s="1"/>
  <c r="K164" i="6"/>
  <c r="M164" i="6" s="1"/>
  <c r="K168" i="6"/>
  <c r="M168" i="6" s="1"/>
  <c r="K169" i="6"/>
  <c r="M169" i="6" s="1"/>
  <c r="K171" i="6"/>
  <c r="M171" i="6" s="1"/>
  <c r="K172" i="6"/>
  <c r="M172" i="6" s="1"/>
  <c r="K173" i="6"/>
  <c r="M173" i="6" s="1"/>
  <c r="K175" i="6"/>
  <c r="M175" i="6" s="1"/>
  <c r="K176" i="6"/>
  <c r="M176" i="6" s="1"/>
  <c r="P176" i="6" s="1"/>
  <c r="K177" i="6"/>
  <c r="M177" i="6" s="1"/>
  <c r="P177" i="6" s="1"/>
  <c r="K180" i="6"/>
  <c r="M180" i="6" s="1"/>
  <c r="K181" i="6"/>
  <c r="M181" i="6" s="1"/>
  <c r="K183" i="6"/>
  <c r="M183" i="6" s="1"/>
  <c r="K184" i="6"/>
  <c r="M184" i="6" s="1"/>
  <c r="K185" i="6"/>
  <c r="M185" i="6" s="1"/>
  <c r="K187" i="6"/>
  <c r="M187" i="6" s="1"/>
  <c r="K189" i="6"/>
  <c r="M189" i="6" s="1"/>
  <c r="K190" i="6"/>
  <c r="M190" i="6" s="1"/>
  <c r="P190" i="6" s="1"/>
  <c r="K191" i="6"/>
  <c r="M191" i="6" s="1"/>
  <c r="K192" i="6"/>
  <c r="M192" i="6" s="1"/>
  <c r="K193" i="6"/>
  <c r="M193" i="6" s="1"/>
  <c r="P193" i="6" s="1"/>
  <c r="K195" i="6"/>
  <c r="M195" i="6" s="1"/>
  <c r="P195" i="6" s="1"/>
  <c r="K196" i="6"/>
  <c r="M196" i="6" s="1"/>
  <c r="P196" i="6" s="1"/>
  <c r="K199" i="6"/>
  <c r="M199" i="6" s="1"/>
  <c r="K200" i="6"/>
  <c r="M200" i="6" s="1"/>
  <c r="K201" i="6"/>
  <c r="M201" i="6" s="1"/>
  <c r="K203" i="6"/>
  <c r="M203" i="6" s="1"/>
  <c r="K207" i="6"/>
  <c r="M207" i="6" s="1"/>
  <c r="P207" i="6" s="1"/>
  <c r="K209" i="6"/>
  <c r="M209" i="6" s="1"/>
  <c r="P209" i="6" s="1"/>
  <c r="K211" i="6"/>
  <c r="M211" i="6" s="1"/>
  <c r="P211" i="6" s="1"/>
  <c r="K212" i="6"/>
  <c r="M212" i="6" s="1"/>
  <c r="K215" i="6"/>
  <c r="M215" i="6" s="1"/>
  <c r="K216" i="6"/>
  <c r="M216" i="6" s="1"/>
  <c r="K217" i="6"/>
  <c r="M217" i="6" s="1"/>
  <c r="K219" i="6"/>
  <c r="M219" i="6" s="1"/>
  <c r="K223" i="6"/>
  <c r="M223" i="6" s="1"/>
  <c r="K225" i="6"/>
  <c r="M225" i="6" s="1"/>
  <c r="K227" i="6"/>
  <c r="M227" i="6" s="1"/>
  <c r="K228" i="6"/>
  <c r="M228" i="6" s="1"/>
  <c r="P228" i="6" s="1"/>
  <c r="K229" i="6"/>
  <c r="M229" i="6" s="1"/>
  <c r="K231" i="6"/>
  <c r="M231" i="6" s="1"/>
  <c r="K233" i="6"/>
  <c r="M233" i="6" s="1"/>
  <c r="K235" i="6"/>
  <c r="M235" i="6" s="1"/>
  <c r="K236" i="6"/>
  <c r="M236" i="6" s="1"/>
  <c r="P236" i="6" s="1"/>
  <c r="K239" i="6"/>
  <c r="M239" i="6" s="1"/>
  <c r="P239" i="6" s="1"/>
  <c r="K240" i="6"/>
  <c r="M240" i="6" s="1"/>
  <c r="K243" i="6"/>
  <c r="M243" i="6" s="1"/>
  <c r="K244" i="6"/>
  <c r="M244" i="6" s="1"/>
  <c r="P244" i="6" s="1"/>
  <c r="K247" i="6"/>
  <c r="M247" i="6" s="1"/>
  <c r="K248" i="6"/>
  <c r="M248" i="6" s="1"/>
  <c r="K249" i="6"/>
  <c r="M249" i="6" s="1"/>
  <c r="K251" i="6"/>
  <c r="M251" i="6" s="1"/>
  <c r="K252" i="6"/>
  <c r="M252" i="6" s="1"/>
  <c r="K255" i="6"/>
  <c r="R255" i="6" s="1"/>
  <c r="K259" i="6"/>
  <c r="M259" i="6" s="1"/>
  <c r="P259" i="6" s="1"/>
  <c r="K260" i="6"/>
  <c r="M260" i="6" s="1"/>
  <c r="K263" i="6"/>
  <c r="M263" i="6" s="1"/>
  <c r="K264" i="6"/>
  <c r="M264" i="6" s="1"/>
  <c r="P264" i="6" s="1"/>
  <c r="K265" i="6"/>
  <c r="M265" i="6" s="1"/>
  <c r="K267" i="6"/>
  <c r="M267" i="6" s="1"/>
  <c r="K268" i="6"/>
  <c r="M268" i="6" s="1"/>
  <c r="K272" i="6"/>
  <c r="M272" i="6" s="1"/>
  <c r="K275" i="6"/>
  <c r="M275" i="6" s="1"/>
  <c r="K276" i="6"/>
  <c r="M276" i="6" s="1"/>
  <c r="P276" i="6" s="1"/>
  <c r="K277" i="6"/>
  <c r="M277" i="6" s="1"/>
  <c r="P277" i="6" s="1"/>
  <c r="K279" i="6"/>
  <c r="M279" i="6" s="1"/>
  <c r="K280" i="6"/>
  <c r="M280" i="6" s="1"/>
  <c r="K281" i="6"/>
  <c r="M281" i="6" s="1"/>
  <c r="K283" i="6"/>
  <c r="M283" i="6" s="1"/>
  <c r="K284" i="6"/>
  <c r="M284" i="6" s="1"/>
  <c r="P284" i="6" s="1"/>
  <c r="K285" i="6"/>
  <c r="M285" i="6" s="1"/>
  <c r="K287" i="6"/>
  <c r="M287" i="6" s="1"/>
  <c r="K288" i="6"/>
  <c r="M288" i="6" s="1"/>
  <c r="K289" i="6"/>
  <c r="M289" i="6" s="1"/>
  <c r="P289" i="6" s="1"/>
  <c r="K291" i="6"/>
  <c r="M291" i="6" s="1"/>
  <c r="P291" i="6" s="1"/>
  <c r="K292" i="6"/>
  <c r="M292" i="6" s="1"/>
  <c r="P292" i="6" s="1"/>
  <c r="K293" i="6"/>
  <c r="M293" i="6" s="1"/>
  <c r="K295" i="6"/>
  <c r="M295" i="6" s="1"/>
  <c r="K296" i="6"/>
  <c r="M296" i="6" s="1"/>
  <c r="K297" i="6"/>
  <c r="M297" i="6" s="1"/>
  <c r="K299" i="6"/>
  <c r="M299" i="6" s="1"/>
  <c r="K300" i="6"/>
  <c r="M300" i="6" s="1"/>
  <c r="K302" i="6"/>
  <c r="M302" i="6" s="1"/>
  <c r="K303" i="6"/>
  <c r="M303" i="6" s="1"/>
  <c r="K304" i="6"/>
  <c r="M304" i="6" s="1"/>
  <c r="K305" i="6"/>
  <c r="M305" i="6" s="1"/>
  <c r="K307" i="6"/>
  <c r="M307" i="6" s="1"/>
  <c r="K308" i="6"/>
  <c r="M308" i="6" s="1"/>
  <c r="K309" i="6"/>
  <c r="M309" i="6" s="1"/>
  <c r="K310" i="6"/>
  <c r="M310" i="6" s="1"/>
  <c r="P310" i="6" s="1"/>
  <c r="K311" i="6"/>
  <c r="M311" i="6" s="1"/>
  <c r="K312" i="6"/>
  <c r="M312" i="6" s="1"/>
  <c r="P312" i="6" s="1"/>
  <c r="K313" i="6"/>
  <c r="M313" i="6" s="1"/>
  <c r="K315" i="6"/>
  <c r="M315" i="6" s="1"/>
  <c r="K316" i="6"/>
  <c r="M316" i="6" s="1"/>
  <c r="K317" i="6"/>
  <c r="M317" i="6" s="1"/>
  <c r="K318" i="6"/>
  <c r="M318" i="6" s="1"/>
  <c r="P318" i="6" s="1"/>
  <c r="K319" i="6"/>
  <c r="M319" i="6" s="1"/>
  <c r="P319" i="6" s="1"/>
  <c r="K321" i="6"/>
  <c r="M321" i="6" s="1"/>
  <c r="K323" i="6"/>
  <c r="M323" i="6" s="1"/>
  <c r="P323" i="6" s="1"/>
  <c r="K324" i="6"/>
  <c r="R324" i="6" s="1"/>
  <c r="K328" i="6"/>
  <c r="M328" i="6" s="1"/>
  <c r="K329" i="6"/>
  <c r="M329" i="6" s="1"/>
  <c r="K331" i="6"/>
  <c r="M331" i="6" s="1"/>
  <c r="P331" i="6" s="1"/>
  <c r="K335" i="6"/>
  <c r="M335" i="6" s="1"/>
  <c r="P335" i="6" s="1"/>
  <c r="K336" i="6"/>
  <c r="M336" i="6" s="1"/>
  <c r="K337" i="6"/>
  <c r="M337" i="6" s="1"/>
  <c r="P337" i="6" s="1"/>
  <c r="K339" i="6"/>
  <c r="M339" i="6" s="1"/>
  <c r="P339" i="6" s="1"/>
  <c r="K340" i="6"/>
  <c r="M340" i="6" s="1"/>
  <c r="K343" i="6"/>
  <c r="M343" i="6" s="1"/>
  <c r="K344" i="6"/>
  <c r="M344" i="6" s="1"/>
  <c r="P344" i="6" s="1"/>
  <c r="K347" i="6"/>
  <c r="M347" i="6" s="1"/>
  <c r="K348" i="6"/>
  <c r="M348" i="6" s="1"/>
  <c r="K349" i="6"/>
  <c r="M349" i="6" s="1"/>
  <c r="K350" i="6"/>
  <c r="M350" i="6" s="1"/>
  <c r="K351" i="6"/>
  <c r="M351" i="6" s="1"/>
  <c r="K353" i="6"/>
  <c r="M353" i="6" s="1"/>
  <c r="K355" i="6"/>
  <c r="M355" i="6" s="1"/>
  <c r="K356" i="6"/>
  <c r="M356" i="6" s="1"/>
  <c r="K359" i="6"/>
  <c r="M359" i="6" s="1"/>
  <c r="K360" i="6"/>
  <c r="M360" i="6" s="1"/>
  <c r="K361" i="6"/>
  <c r="M361" i="6" s="1"/>
  <c r="K363" i="6"/>
  <c r="M363" i="6" s="1"/>
  <c r="K364" i="6"/>
  <c r="M364" i="6" s="1"/>
  <c r="K367" i="6"/>
  <c r="M367" i="6" s="1"/>
  <c r="K368" i="6"/>
  <c r="M368" i="6" s="1"/>
  <c r="K369" i="6"/>
  <c r="M369" i="6" s="1"/>
  <c r="K371" i="6"/>
  <c r="M371" i="6" s="1"/>
  <c r="P371" i="6" s="1"/>
  <c r="K375" i="6"/>
  <c r="M375" i="6" s="1"/>
  <c r="K376" i="6"/>
  <c r="M376" i="6" s="1"/>
  <c r="K377" i="6"/>
  <c r="M377" i="6" s="1"/>
  <c r="K379" i="6"/>
  <c r="M379" i="6" s="1"/>
  <c r="K380" i="6"/>
  <c r="M380" i="6" s="1"/>
  <c r="K383" i="6"/>
  <c r="M383" i="6" s="1"/>
  <c r="K388" i="6"/>
  <c r="M388" i="6" s="1"/>
  <c r="K392" i="6"/>
  <c r="M392" i="6" s="1"/>
  <c r="K395" i="6"/>
  <c r="M395" i="6" s="1"/>
  <c r="K396" i="6"/>
  <c r="M396" i="6" s="1"/>
  <c r="K397" i="6"/>
  <c r="M397" i="6" s="1"/>
  <c r="K398" i="6"/>
  <c r="M398" i="6" s="1"/>
  <c r="K400" i="6"/>
  <c r="M400" i="6" s="1"/>
  <c r="K401" i="6"/>
  <c r="M401" i="6" s="1"/>
  <c r="H3" i="6"/>
  <c r="J3" i="6" s="1"/>
  <c r="H4" i="6"/>
  <c r="J4" i="6" s="1"/>
  <c r="H5" i="6"/>
  <c r="J5" i="6" s="1"/>
  <c r="H6" i="6"/>
  <c r="J6" i="6" s="1"/>
  <c r="H7" i="6"/>
  <c r="J7" i="6" s="1"/>
  <c r="H8" i="6"/>
  <c r="J8" i="6" s="1"/>
  <c r="H9" i="6"/>
  <c r="J9" i="6" s="1"/>
  <c r="H10" i="6"/>
  <c r="J10" i="6" s="1"/>
  <c r="H11" i="6"/>
  <c r="J11" i="6" s="1"/>
  <c r="H12" i="6"/>
  <c r="J12" i="6" s="1"/>
  <c r="H13" i="6"/>
  <c r="J13" i="6" s="1"/>
  <c r="H14" i="6"/>
  <c r="J14" i="6" s="1"/>
  <c r="H15" i="6"/>
  <c r="J15" i="6" s="1"/>
  <c r="H16" i="6"/>
  <c r="J16" i="6" s="1"/>
  <c r="H17" i="6"/>
  <c r="J17" i="6" s="1"/>
  <c r="H18" i="6"/>
  <c r="J18" i="6" s="1"/>
  <c r="H19" i="6"/>
  <c r="J19" i="6" s="1"/>
  <c r="H20" i="6"/>
  <c r="J20" i="6" s="1"/>
  <c r="H21" i="6"/>
  <c r="J21" i="6" s="1"/>
  <c r="H22" i="6"/>
  <c r="J22" i="6" s="1"/>
  <c r="H23" i="6"/>
  <c r="J23" i="6" s="1"/>
  <c r="H24" i="6"/>
  <c r="J24" i="6" s="1"/>
  <c r="H25" i="6"/>
  <c r="J25" i="6" s="1"/>
  <c r="H26" i="6"/>
  <c r="J26" i="6" s="1"/>
  <c r="H27" i="6"/>
  <c r="J27" i="6" s="1"/>
  <c r="H28" i="6"/>
  <c r="J28" i="6" s="1"/>
  <c r="H29" i="6"/>
  <c r="J29" i="6" s="1"/>
  <c r="H30" i="6"/>
  <c r="J30" i="6" s="1"/>
  <c r="H31" i="6"/>
  <c r="J31" i="6" s="1"/>
  <c r="H32" i="6"/>
  <c r="J32" i="6" s="1"/>
  <c r="H33" i="6"/>
  <c r="J33" i="6" s="1"/>
  <c r="H34" i="6"/>
  <c r="J34" i="6" s="1"/>
  <c r="H35" i="6"/>
  <c r="J35" i="6" s="1"/>
  <c r="H36" i="6"/>
  <c r="J36" i="6" s="1"/>
  <c r="H37" i="6"/>
  <c r="J37" i="6" s="1"/>
  <c r="H38" i="6"/>
  <c r="J38" i="6" s="1"/>
  <c r="H39" i="6"/>
  <c r="J39" i="6" s="1"/>
  <c r="H40" i="6"/>
  <c r="J40" i="6" s="1"/>
  <c r="H41" i="6"/>
  <c r="J41" i="6" s="1"/>
  <c r="H42" i="6"/>
  <c r="J42" i="6" s="1"/>
  <c r="H43" i="6"/>
  <c r="J43" i="6" s="1"/>
  <c r="H44" i="6"/>
  <c r="J44" i="6" s="1"/>
  <c r="H45" i="6"/>
  <c r="J45" i="6" s="1"/>
  <c r="H46" i="6"/>
  <c r="J46" i="6" s="1"/>
  <c r="H47" i="6"/>
  <c r="J47" i="6" s="1"/>
  <c r="H48" i="6"/>
  <c r="J48" i="6" s="1"/>
  <c r="H49" i="6"/>
  <c r="J49" i="6" s="1"/>
  <c r="H50" i="6"/>
  <c r="J50" i="6" s="1"/>
  <c r="H51" i="6"/>
  <c r="J51" i="6" s="1"/>
  <c r="H52" i="6"/>
  <c r="J52" i="6" s="1"/>
  <c r="H53" i="6"/>
  <c r="J53" i="6" s="1"/>
  <c r="H54" i="6"/>
  <c r="J54" i="6" s="1"/>
  <c r="H55" i="6"/>
  <c r="J55" i="6" s="1"/>
  <c r="H56" i="6"/>
  <c r="J56" i="6" s="1"/>
  <c r="H57" i="6"/>
  <c r="J57" i="6" s="1"/>
  <c r="H58" i="6"/>
  <c r="J58" i="6" s="1"/>
  <c r="H59" i="6"/>
  <c r="J59" i="6" s="1"/>
  <c r="H60" i="6"/>
  <c r="J60" i="6" s="1"/>
  <c r="H61" i="6"/>
  <c r="J61" i="6" s="1"/>
  <c r="H62" i="6"/>
  <c r="J62" i="6" s="1"/>
  <c r="H63" i="6"/>
  <c r="J63" i="6" s="1"/>
  <c r="H64" i="6"/>
  <c r="J64" i="6" s="1"/>
  <c r="H65" i="6"/>
  <c r="J65" i="6" s="1"/>
  <c r="H66" i="6"/>
  <c r="J66" i="6" s="1"/>
  <c r="H67" i="6"/>
  <c r="J67" i="6" s="1"/>
  <c r="H68" i="6"/>
  <c r="J68" i="6" s="1"/>
  <c r="H69" i="6"/>
  <c r="J69" i="6" s="1"/>
  <c r="H70" i="6"/>
  <c r="J70" i="6" s="1"/>
  <c r="H71" i="6"/>
  <c r="J71" i="6" s="1"/>
  <c r="H72" i="6"/>
  <c r="J72" i="6" s="1"/>
  <c r="H73" i="6"/>
  <c r="J73" i="6" s="1"/>
  <c r="H74" i="6"/>
  <c r="J74" i="6" s="1"/>
  <c r="H75" i="6"/>
  <c r="J75" i="6" s="1"/>
  <c r="H76" i="6"/>
  <c r="J76" i="6" s="1"/>
  <c r="H77" i="6"/>
  <c r="J77" i="6" s="1"/>
  <c r="H78" i="6"/>
  <c r="J78" i="6" s="1"/>
  <c r="H79" i="6"/>
  <c r="J79" i="6" s="1"/>
  <c r="H80" i="6"/>
  <c r="J80" i="6" s="1"/>
  <c r="H81" i="6"/>
  <c r="J81" i="6" s="1"/>
  <c r="H82" i="6"/>
  <c r="J82" i="6" s="1"/>
  <c r="H83" i="6"/>
  <c r="J83" i="6" s="1"/>
  <c r="H84" i="6"/>
  <c r="J84" i="6" s="1"/>
  <c r="H85" i="6"/>
  <c r="J85" i="6" s="1"/>
  <c r="H86" i="6"/>
  <c r="J86" i="6" s="1"/>
  <c r="H87" i="6"/>
  <c r="J87" i="6" s="1"/>
  <c r="H88" i="6"/>
  <c r="J88" i="6" s="1"/>
  <c r="H89" i="6"/>
  <c r="J89" i="6" s="1"/>
  <c r="H90" i="6"/>
  <c r="J90" i="6" s="1"/>
  <c r="H91" i="6"/>
  <c r="J91" i="6" s="1"/>
  <c r="H92" i="6"/>
  <c r="J92" i="6" s="1"/>
  <c r="H93" i="6"/>
  <c r="J93" i="6" s="1"/>
  <c r="H94" i="6"/>
  <c r="J94" i="6" s="1"/>
  <c r="H95" i="6"/>
  <c r="J95" i="6" s="1"/>
  <c r="H96" i="6"/>
  <c r="J96" i="6" s="1"/>
  <c r="H97" i="6"/>
  <c r="J97" i="6" s="1"/>
  <c r="H98" i="6"/>
  <c r="J98" i="6" s="1"/>
  <c r="H99" i="6"/>
  <c r="J99" i="6" s="1"/>
  <c r="H100" i="6"/>
  <c r="J100" i="6" s="1"/>
  <c r="H101" i="6"/>
  <c r="J101" i="6" s="1"/>
  <c r="H102" i="6"/>
  <c r="J102" i="6" s="1"/>
  <c r="H103" i="6"/>
  <c r="J103" i="6" s="1"/>
  <c r="H104" i="6"/>
  <c r="J104" i="6" s="1"/>
  <c r="H105" i="6"/>
  <c r="J105" i="6" s="1"/>
  <c r="H106" i="6"/>
  <c r="J106" i="6" s="1"/>
  <c r="H107" i="6"/>
  <c r="J107" i="6" s="1"/>
  <c r="H108" i="6"/>
  <c r="J108" i="6" s="1"/>
  <c r="H109" i="6"/>
  <c r="J109" i="6" s="1"/>
  <c r="H110" i="6"/>
  <c r="J110" i="6" s="1"/>
  <c r="H111" i="6"/>
  <c r="J111" i="6" s="1"/>
  <c r="H112" i="6"/>
  <c r="J112" i="6" s="1"/>
  <c r="H113" i="6"/>
  <c r="J113" i="6" s="1"/>
  <c r="H114" i="6"/>
  <c r="J114" i="6" s="1"/>
  <c r="H115" i="6"/>
  <c r="J115" i="6" s="1"/>
  <c r="H116" i="6"/>
  <c r="J116" i="6" s="1"/>
  <c r="H117" i="6"/>
  <c r="J117" i="6" s="1"/>
  <c r="H118" i="6"/>
  <c r="J118" i="6" s="1"/>
  <c r="H119" i="6"/>
  <c r="J119" i="6" s="1"/>
  <c r="H120" i="6"/>
  <c r="J120" i="6" s="1"/>
  <c r="H121" i="6"/>
  <c r="J121" i="6" s="1"/>
  <c r="H122" i="6"/>
  <c r="J122" i="6" s="1"/>
  <c r="H123" i="6"/>
  <c r="J123" i="6" s="1"/>
  <c r="H124" i="6"/>
  <c r="J124" i="6" s="1"/>
  <c r="H125" i="6"/>
  <c r="J125" i="6" s="1"/>
  <c r="H126" i="6"/>
  <c r="J126" i="6" s="1"/>
  <c r="H127" i="6"/>
  <c r="J127" i="6" s="1"/>
  <c r="H128" i="6"/>
  <c r="J128" i="6" s="1"/>
  <c r="H129" i="6"/>
  <c r="J129" i="6" s="1"/>
  <c r="H130" i="6"/>
  <c r="J130" i="6" s="1"/>
  <c r="H131" i="6"/>
  <c r="J131" i="6" s="1"/>
  <c r="H132" i="6"/>
  <c r="J132" i="6" s="1"/>
  <c r="H133" i="6"/>
  <c r="J133" i="6" s="1"/>
  <c r="H134" i="6"/>
  <c r="J134" i="6" s="1"/>
  <c r="H135" i="6"/>
  <c r="J135" i="6" s="1"/>
  <c r="H136" i="6"/>
  <c r="J136" i="6" s="1"/>
  <c r="H137" i="6"/>
  <c r="J137" i="6" s="1"/>
  <c r="H138" i="6"/>
  <c r="J138" i="6" s="1"/>
  <c r="H139" i="6"/>
  <c r="J139" i="6" s="1"/>
  <c r="H140" i="6"/>
  <c r="J140" i="6" s="1"/>
  <c r="H141" i="6"/>
  <c r="J141" i="6" s="1"/>
  <c r="H142" i="6"/>
  <c r="J142" i="6" s="1"/>
  <c r="H143" i="6"/>
  <c r="J143" i="6" s="1"/>
  <c r="H144" i="6"/>
  <c r="J144" i="6" s="1"/>
  <c r="H145" i="6"/>
  <c r="J145" i="6" s="1"/>
  <c r="H146" i="6"/>
  <c r="J146" i="6" s="1"/>
  <c r="H147" i="6"/>
  <c r="J147" i="6" s="1"/>
  <c r="H148" i="6"/>
  <c r="J148" i="6" s="1"/>
  <c r="H149" i="6"/>
  <c r="J149" i="6" s="1"/>
  <c r="H150" i="6"/>
  <c r="J150" i="6" s="1"/>
  <c r="H151" i="6"/>
  <c r="J151" i="6" s="1"/>
  <c r="H152" i="6"/>
  <c r="J152" i="6" s="1"/>
  <c r="H153" i="6"/>
  <c r="J153" i="6" s="1"/>
  <c r="H154" i="6"/>
  <c r="J154" i="6" s="1"/>
  <c r="H155" i="6"/>
  <c r="J155" i="6" s="1"/>
  <c r="H156" i="6"/>
  <c r="J156" i="6" s="1"/>
  <c r="H157" i="6"/>
  <c r="J157" i="6" s="1"/>
  <c r="H158" i="6"/>
  <c r="J158" i="6" s="1"/>
  <c r="H159" i="6"/>
  <c r="J159" i="6" s="1"/>
  <c r="H160" i="6"/>
  <c r="J160" i="6" s="1"/>
  <c r="H161" i="6"/>
  <c r="J161" i="6" s="1"/>
  <c r="H162" i="6"/>
  <c r="J162" i="6" s="1"/>
  <c r="H163" i="6"/>
  <c r="J163" i="6" s="1"/>
  <c r="H164" i="6"/>
  <c r="J164" i="6" s="1"/>
  <c r="H165" i="6"/>
  <c r="J165" i="6" s="1"/>
  <c r="H166" i="6"/>
  <c r="J166" i="6" s="1"/>
  <c r="H167" i="6"/>
  <c r="J167" i="6" s="1"/>
  <c r="H168" i="6"/>
  <c r="J168" i="6" s="1"/>
  <c r="H169" i="6"/>
  <c r="J169" i="6" s="1"/>
  <c r="H170" i="6"/>
  <c r="J170" i="6" s="1"/>
  <c r="H171" i="6"/>
  <c r="J171" i="6" s="1"/>
  <c r="H172" i="6"/>
  <c r="J172" i="6" s="1"/>
  <c r="H173" i="6"/>
  <c r="J173" i="6" s="1"/>
  <c r="H174" i="6"/>
  <c r="J174" i="6" s="1"/>
  <c r="H175" i="6"/>
  <c r="J175" i="6" s="1"/>
  <c r="H176" i="6"/>
  <c r="J176" i="6" s="1"/>
  <c r="H177" i="6"/>
  <c r="J177" i="6" s="1"/>
  <c r="H178" i="6"/>
  <c r="J178" i="6" s="1"/>
  <c r="H179" i="6"/>
  <c r="J179" i="6" s="1"/>
  <c r="H180" i="6"/>
  <c r="J180" i="6" s="1"/>
  <c r="H181" i="6"/>
  <c r="J181" i="6" s="1"/>
  <c r="H182" i="6"/>
  <c r="J182" i="6" s="1"/>
  <c r="H183" i="6"/>
  <c r="J183" i="6" s="1"/>
  <c r="H184" i="6"/>
  <c r="J184" i="6" s="1"/>
  <c r="H185" i="6"/>
  <c r="J185" i="6" s="1"/>
  <c r="H186" i="6"/>
  <c r="J186" i="6" s="1"/>
  <c r="H187" i="6"/>
  <c r="J187" i="6" s="1"/>
  <c r="H188" i="6"/>
  <c r="J188" i="6" s="1"/>
  <c r="H189" i="6"/>
  <c r="J189" i="6" s="1"/>
  <c r="H190" i="6"/>
  <c r="J190" i="6" s="1"/>
  <c r="H191" i="6"/>
  <c r="J191" i="6" s="1"/>
  <c r="H192" i="6"/>
  <c r="J192" i="6" s="1"/>
  <c r="H193" i="6"/>
  <c r="J193" i="6" s="1"/>
  <c r="H194" i="6"/>
  <c r="J194" i="6" s="1"/>
  <c r="H195" i="6"/>
  <c r="J195" i="6" s="1"/>
  <c r="H196" i="6"/>
  <c r="J196" i="6" s="1"/>
  <c r="H197" i="6"/>
  <c r="J197" i="6" s="1"/>
  <c r="H198" i="6"/>
  <c r="J198" i="6" s="1"/>
  <c r="H199" i="6"/>
  <c r="J199" i="6" s="1"/>
  <c r="H200" i="6"/>
  <c r="J200" i="6" s="1"/>
  <c r="H201" i="6"/>
  <c r="J201" i="6" s="1"/>
  <c r="H202" i="6"/>
  <c r="J202" i="6" s="1"/>
  <c r="H203" i="6"/>
  <c r="J203" i="6" s="1"/>
  <c r="H204" i="6"/>
  <c r="J204" i="6" s="1"/>
  <c r="H205" i="6"/>
  <c r="J205" i="6" s="1"/>
  <c r="H206" i="6"/>
  <c r="J206" i="6" s="1"/>
  <c r="H207" i="6"/>
  <c r="J207" i="6" s="1"/>
  <c r="H208" i="6"/>
  <c r="J208" i="6" s="1"/>
  <c r="H209" i="6"/>
  <c r="J209" i="6" s="1"/>
  <c r="H210" i="6"/>
  <c r="J210" i="6" s="1"/>
  <c r="H211" i="6"/>
  <c r="J211" i="6" s="1"/>
  <c r="H212" i="6"/>
  <c r="J212" i="6" s="1"/>
  <c r="H213" i="6"/>
  <c r="J213" i="6" s="1"/>
  <c r="H214" i="6"/>
  <c r="J214" i="6" s="1"/>
  <c r="H215" i="6"/>
  <c r="J215" i="6" s="1"/>
  <c r="H216" i="6"/>
  <c r="J216" i="6" s="1"/>
  <c r="H217" i="6"/>
  <c r="J217" i="6" s="1"/>
  <c r="H218" i="6"/>
  <c r="J218" i="6" s="1"/>
  <c r="H219" i="6"/>
  <c r="J219" i="6" s="1"/>
  <c r="H220" i="6"/>
  <c r="J220" i="6" s="1"/>
  <c r="H221" i="6"/>
  <c r="J221" i="6" s="1"/>
  <c r="H222" i="6"/>
  <c r="J222" i="6" s="1"/>
  <c r="H223" i="6"/>
  <c r="J223" i="6" s="1"/>
  <c r="H224" i="6"/>
  <c r="J224" i="6" s="1"/>
  <c r="H225" i="6"/>
  <c r="J225" i="6" s="1"/>
  <c r="H226" i="6"/>
  <c r="J226" i="6" s="1"/>
  <c r="H227" i="6"/>
  <c r="J227" i="6" s="1"/>
  <c r="H228" i="6"/>
  <c r="J228" i="6" s="1"/>
  <c r="H229" i="6"/>
  <c r="J229" i="6" s="1"/>
  <c r="H230" i="6"/>
  <c r="J230" i="6" s="1"/>
  <c r="H231" i="6"/>
  <c r="J231" i="6" s="1"/>
  <c r="H232" i="6"/>
  <c r="J232" i="6" s="1"/>
  <c r="H233" i="6"/>
  <c r="J233" i="6" s="1"/>
  <c r="H234" i="6"/>
  <c r="J234" i="6" s="1"/>
  <c r="H235" i="6"/>
  <c r="J235" i="6" s="1"/>
  <c r="H236" i="6"/>
  <c r="J236" i="6" s="1"/>
  <c r="H237" i="6"/>
  <c r="J237" i="6" s="1"/>
  <c r="H238" i="6"/>
  <c r="J238" i="6" s="1"/>
  <c r="H239" i="6"/>
  <c r="J239" i="6" s="1"/>
  <c r="H240" i="6"/>
  <c r="J240" i="6" s="1"/>
  <c r="H241" i="6"/>
  <c r="J241" i="6" s="1"/>
  <c r="H242" i="6"/>
  <c r="J242" i="6" s="1"/>
  <c r="H243" i="6"/>
  <c r="J243" i="6" s="1"/>
  <c r="H244" i="6"/>
  <c r="J244" i="6" s="1"/>
  <c r="H245" i="6"/>
  <c r="J245" i="6" s="1"/>
  <c r="H246" i="6"/>
  <c r="J246" i="6" s="1"/>
  <c r="H247" i="6"/>
  <c r="J247" i="6" s="1"/>
  <c r="H248" i="6"/>
  <c r="J248" i="6" s="1"/>
  <c r="H249" i="6"/>
  <c r="J249" i="6" s="1"/>
  <c r="H250" i="6"/>
  <c r="J250" i="6" s="1"/>
  <c r="H251" i="6"/>
  <c r="J251" i="6" s="1"/>
  <c r="H252" i="6"/>
  <c r="J252" i="6" s="1"/>
  <c r="H253" i="6"/>
  <c r="J253" i="6" s="1"/>
  <c r="H254" i="6"/>
  <c r="J254" i="6" s="1"/>
  <c r="H255" i="6"/>
  <c r="J255" i="6" s="1"/>
  <c r="H256" i="6"/>
  <c r="J256" i="6" s="1"/>
  <c r="H257" i="6"/>
  <c r="J257" i="6" s="1"/>
  <c r="H258" i="6"/>
  <c r="J258" i="6" s="1"/>
  <c r="H259" i="6"/>
  <c r="J259" i="6" s="1"/>
  <c r="H260" i="6"/>
  <c r="J260" i="6" s="1"/>
  <c r="H261" i="6"/>
  <c r="J261" i="6" s="1"/>
  <c r="H262" i="6"/>
  <c r="J262" i="6" s="1"/>
  <c r="H263" i="6"/>
  <c r="J263" i="6" s="1"/>
  <c r="H264" i="6"/>
  <c r="J264" i="6" s="1"/>
  <c r="H265" i="6"/>
  <c r="J265" i="6" s="1"/>
  <c r="H266" i="6"/>
  <c r="J266" i="6" s="1"/>
  <c r="H267" i="6"/>
  <c r="J267" i="6" s="1"/>
  <c r="H268" i="6"/>
  <c r="J268" i="6" s="1"/>
  <c r="H269" i="6"/>
  <c r="J269" i="6" s="1"/>
  <c r="H270" i="6"/>
  <c r="J270" i="6" s="1"/>
  <c r="H271" i="6"/>
  <c r="J271" i="6" s="1"/>
  <c r="H272" i="6"/>
  <c r="J272" i="6" s="1"/>
  <c r="H273" i="6"/>
  <c r="J273" i="6" s="1"/>
  <c r="H274" i="6"/>
  <c r="J274" i="6" s="1"/>
  <c r="H275" i="6"/>
  <c r="J275" i="6" s="1"/>
  <c r="H276" i="6"/>
  <c r="J276" i="6" s="1"/>
  <c r="H277" i="6"/>
  <c r="J277" i="6" s="1"/>
  <c r="H278" i="6"/>
  <c r="J278" i="6" s="1"/>
  <c r="H279" i="6"/>
  <c r="J279" i="6" s="1"/>
  <c r="H280" i="6"/>
  <c r="J280" i="6" s="1"/>
  <c r="H281" i="6"/>
  <c r="J281" i="6" s="1"/>
  <c r="H282" i="6"/>
  <c r="J282" i="6" s="1"/>
  <c r="H283" i="6"/>
  <c r="J283" i="6" s="1"/>
  <c r="H284" i="6"/>
  <c r="J284" i="6" s="1"/>
  <c r="H285" i="6"/>
  <c r="J285" i="6" s="1"/>
  <c r="H286" i="6"/>
  <c r="J286" i="6" s="1"/>
  <c r="H287" i="6"/>
  <c r="J287" i="6" s="1"/>
  <c r="H288" i="6"/>
  <c r="J288" i="6" s="1"/>
  <c r="H289" i="6"/>
  <c r="J289" i="6" s="1"/>
  <c r="H290" i="6"/>
  <c r="J290" i="6" s="1"/>
  <c r="H291" i="6"/>
  <c r="J291" i="6" s="1"/>
  <c r="H292" i="6"/>
  <c r="J292" i="6" s="1"/>
  <c r="H293" i="6"/>
  <c r="J293" i="6" s="1"/>
  <c r="H294" i="6"/>
  <c r="J294" i="6" s="1"/>
  <c r="H295" i="6"/>
  <c r="J295" i="6" s="1"/>
  <c r="H296" i="6"/>
  <c r="J296" i="6" s="1"/>
  <c r="H297" i="6"/>
  <c r="J297" i="6" s="1"/>
  <c r="H298" i="6"/>
  <c r="J298" i="6" s="1"/>
  <c r="H299" i="6"/>
  <c r="J299" i="6" s="1"/>
  <c r="H300" i="6"/>
  <c r="J300" i="6" s="1"/>
  <c r="H301" i="6"/>
  <c r="J301" i="6" s="1"/>
  <c r="H302" i="6"/>
  <c r="J302" i="6" s="1"/>
  <c r="H303" i="6"/>
  <c r="J303" i="6" s="1"/>
  <c r="H304" i="6"/>
  <c r="J304" i="6" s="1"/>
  <c r="H305" i="6"/>
  <c r="J305" i="6" s="1"/>
  <c r="H306" i="6"/>
  <c r="J306" i="6" s="1"/>
  <c r="H307" i="6"/>
  <c r="J307" i="6" s="1"/>
  <c r="H308" i="6"/>
  <c r="J308" i="6" s="1"/>
  <c r="H309" i="6"/>
  <c r="J309" i="6" s="1"/>
  <c r="H310" i="6"/>
  <c r="J310" i="6" s="1"/>
  <c r="H311" i="6"/>
  <c r="J311" i="6" s="1"/>
  <c r="H312" i="6"/>
  <c r="J312" i="6" s="1"/>
  <c r="H313" i="6"/>
  <c r="J313" i="6" s="1"/>
  <c r="H314" i="6"/>
  <c r="J314" i="6" s="1"/>
  <c r="H315" i="6"/>
  <c r="J315" i="6" s="1"/>
  <c r="H316" i="6"/>
  <c r="J316" i="6" s="1"/>
  <c r="H317" i="6"/>
  <c r="J317" i="6" s="1"/>
  <c r="H318" i="6"/>
  <c r="J318" i="6" s="1"/>
  <c r="H319" i="6"/>
  <c r="J319" i="6" s="1"/>
  <c r="H320" i="6"/>
  <c r="J320" i="6" s="1"/>
  <c r="H321" i="6"/>
  <c r="J321" i="6" s="1"/>
  <c r="H322" i="6"/>
  <c r="J322" i="6" s="1"/>
  <c r="H323" i="6"/>
  <c r="J323" i="6" s="1"/>
  <c r="H324" i="6"/>
  <c r="J324" i="6" s="1"/>
  <c r="H325" i="6"/>
  <c r="J325" i="6" s="1"/>
  <c r="H326" i="6"/>
  <c r="J326" i="6" s="1"/>
  <c r="H327" i="6"/>
  <c r="J327" i="6" s="1"/>
  <c r="H328" i="6"/>
  <c r="J328" i="6" s="1"/>
  <c r="H329" i="6"/>
  <c r="J329" i="6" s="1"/>
  <c r="H330" i="6"/>
  <c r="J330" i="6" s="1"/>
  <c r="H331" i="6"/>
  <c r="J331" i="6" s="1"/>
  <c r="H332" i="6"/>
  <c r="J332" i="6" s="1"/>
  <c r="H333" i="6"/>
  <c r="J333" i="6" s="1"/>
  <c r="H334" i="6"/>
  <c r="J334" i="6" s="1"/>
  <c r="H335" i="6"/>
  <c r="J335" i="6" s="1"/>
  <c r="H336" i="6"/>
  <c r="J336" i="6" s="1"/>
  <c r="H337" i="6"/>
  <c r="J337" i="6" s="1"/>
  <c r="H338" i="6"/>
  <c r="J338" i="6" s="1"/>
  <c r="H339" i="6"/>
  <c r="J339" i="6" s="1"/>
  <c r="H340" i="6"/>
  <c r="J340" i="6" s="1"/>
  <c r="H341" i="6"/>
  <c r="J341" i="6" s="1"/>
  <c r="H342" i="6"/>
  <c r="J342" i="6" s="1"/>
  <c r="H343" i="6"/>
  <c r="J343" i="6" s="1"/>
  <c r="H344" i="6"/>
  <c r="J344" i="6" s="1"/>
  <c r="H345" i="6"/>
  <c r="J345" i="6" s="1"/>
  <c r="H346" i="6"/>
  <c r="J346" i="6" s="1"/>
  <c r="H347" i="6"/>
  <c r="J347" i="6" s="1"/>
  <c r="H348" i="6"/>
  <c r="J348" i="6" s="1"/>
  <c r="H349" i="6"/>
  <c r="J349" i="6" s="1"/>
  <c r="H350" i="6"/>
  <c r="J350" i="6" s="1"/>
  <c r="H351" i="6"/>
  <c r="J351" i="6" s="1"/>
  <c r="H352" i="6"/>
  <c r="J352" i="6" s="1"/>
  <c r="H353" i="6"/>
  <c r="J353" i="6" s="1"/>
  <c r="H354" i="6"/>
  <c r="J354" i="6" s="1"/>
  <c r="H355" i="6"/>
  <c r="J355" i="6" s="1"/>
  <c r="H356" i="6"/>
  <c r="J356" i="6" s="1"/>
  <c r="H357" i="6"/>
  <c r="J357" i="6" s="1"/>
  <c r="H358" i="6"/>
  <c r="J358" i="6" s="1"/>
  <c r="H359" i="6"/>
  <c r="J359" i="6" s="1"/>
  <c r="H360" i="6"/>
  <c r="J360" i="6" s="1"/>
  <c r="H361" i="6"/>
  <c r="J361" i="6" s="1"/>
  <c r="H362" i="6"/>
  <c r="J362" i="6" s="1"/>
  <c r="H363" i="6"/>
  <c r="J363" i="6" s="1"/>
  <c r="H364" i="6"/>
  <c r="J364" i="6" s="1"/>
  <c r="H365" i="6"/>
  <c r="J365" i="6" s="1"/>
  <c r="H366" i="6"/>
  <c r="J366" i="6" s="1"/>
  <c r="H367" i="6"/>
  <c r="J367" i="6" s="1"/>
  <c r="H368" i="6"/>
  <c r="J368" i="6" s="1"/>
  <c r="H369" i="6"/>
  <c r="J369" i="6" s="1"/>
  <c r="H370" i="6"/>
  <c r="J370" i="6" s="1"/>
  <c r="H371" i="6"/>
  <c r="J371" i="6" s="1"/>
  <c r="H372" i="6"/>
  <c r="J372" i="6" s="1"/>
  <c r="H373" i="6"/>
  <c r="J373" i="6" s="1"/>
  <c r="H374" i="6"/>
  <c r="J374" i="6" s="1"/>
  <c r="H375" i="6"/>
  <c r="J375" i="6" s="1"/>
  <c r="H376" i="6"/>
  <c r="J376" i="6" s="1"/>
  <c r="H377" i="6"/>
  <c r="J377" i="6" s="1"/>
  <c r="H378" i="6"/>
  <c r="J378" i="6" s="1"/>
  <c r="H379" i="6"/>
  <c r="J379" i="6" s="1"/>
  <c r="H380" i="6"/>
  <c r="J380" i="6" s="1"/>
  <c r="H381" i="6"/>
  <c r="J381" i="6" s="1"/>
  <c r="H382" i="6"/>
  <c r="J382" i="6" s="1"/>
  <c r="H383" i="6"/>
  <c r="J383" i="6" s="1"/>
  <c r="H384" i="6"/>
  <c r="J384" i="6" s="1"/>
  <c r="H385" i="6"/>
  <c r="J385" i="6" s="1"/>
  <c r="H386" i="6"/>
  <c r="J386" i="6" s="1"/>
  <c r="H387" i="6"/>
  <c r="J387" i="6" s="1"/>
  <c r="H388" i="6"/>
  <c r="J388" i="6" s="1"/>
  <c r="H389" i="6"/>
  <c r="J389" i="6" s="1"/>
  <c r="H390" i="6"/>
  <c r="J390" i="6" s="1"/>
  <c r="H391" i="6"/>
  <c r="J391" i="6" s="1"/>
  <c r="H392" i="6"/>
  <c r="J392" i="6" s="1"/>
  <c r="H393" i="6"/>
  <c r="J393" i="6" s="1"/>
  <c r="H394" i="6"/>
  <c r="J394" i="6" s="1"/>
  <c r="H395" i="6"/>
  <c r="J395" i="6" s="1"/>
  <c r="H396" i="6"/>
  <c r="J396" i="6" s="1"/>
  <c r="H397" i="6"/>
  <c r="J397" i="6" s="1"/>
  <c r="H398" i="6"/>
  <c r="J398" i="6" s="1"/>
  <c r="H399" i="6"/>
  <c r="J399" i="6" s="1"/>
  <c r="H400" i="6"/>
  <c r="J400" i="6" s="1"/>
  <c r="H401" i="6"/>
  <c r="J401" i="6" s="1"/>
  <c r="H2" i="6"/>
  <c r="J2" i="6" s="1"/>
  <c r="Q304" i="6" l="1"/>
  <c r="Q272" i="6"/>
  <c r="Q184" i="6"/>
  <c r="Q144" i="6"/>
  <c r="Q343" i="6"/>
  <c r="Q295" i="6"/>
  <c r="Q183" i="6"/>
  <c r="Q143" i="6"/>
  <c r="Q119" i="6"/>
  <c r="Q398" i="6"/>
  <c r="Q351" i="6"/>
  <c r="Q303" i="6"/>
  <c r="Q223" i="6"/>
  <c r="Q350" i="6"/>
  <c r="Q302" i="6"/>
  <c r="Q85" i="6"/>
  <c r="Q55" i="6"/>
  <c r="Q293" i="6"/>
  <c r="Q53" i="6"/>
  <c r="Q181" i="6"/>
  <c r="Q397" i="6"/>
  <c r="Q349" i="6"/>
  <c r="Q149" i="6"/>
  <c r="Q125" i="6"/>
  <c r="Q61" i="6"/>
  <c r="Q382" i="6"/>
  <c r="Q294" i="6"/>
  <c r="Q278" i="6"/>
  <c r="Q150" i="6"/>
  <c r="Q197" i="6"/>
  <c r="Q288" i="6"/>
  <c r="Q189" i="6"/>
  <c r="Q136" i="6"/>
  <c r="Q70" i="6"/>
  <c r="Q392" i="6"/>
  <c r="Q317" i="6"/>
  <c r="Q287" i="6"/>
  <c r="Q229" i="6"/>
  <c r="Q175" i="6"/>
  <c r="Q135" i="6"/>
  <c r="Q87" i="6"/>
  <c r="Q69" i="6"/>
  <c r="Q47" i="6"/>
  <c r="Q192" i="6"/>
  <c r="Q128" i="6"/>
  <c r="Q64" i="6"/>
  <c r="Q311" i="6"/>
  <c r="Q280" i="6"/>
  <c r="Q191" i="6"/>
  <c r="Q168" i="6"/>
  <c r="Q152" i="6"/>
  <c r="Q127" i="6"/>
  <c r="Q72" i="6"/>
  <c r="Q63" i="6"/>
  <c r="Q336" i="6"/>
  <c r="Q279" i="6"/>
  <c r="Q80" i="6"/>
  <c r="Q71" i="6"/>
  <c r="Q309" i="6"/>
  <c r="Q263" i="6"/>
  <c r="Q231" i="6"/>
  <c r="Q79" i="6"/>
  <c r="Q296" i="6"/>
  <c r="Q285" i="6"/>
  <c r="Q173" i="6"/>
  <c r="Q109" i="6"/>
  <c r="Q86" i="6"/>
  <c r="Q77" i="6"/>
  <c r="Q45" i="6"/>
  <c r="S346" i="6"/>
  <c r="K346" i="6"/>
  <c r="M346" i="6" s="1"/>
  <c r="Q346" i="6" s="1"/>
  <c r="S298" i="6"/>
  <c r="K298" i="6"/>
  <c r="M298" i="6" s="1"/>
  <c r="Q298" i="6" s="1"/>
  <c r="S242" i="6"/>
  <c r="K242" i="6"/>
  <c r="M242" i="6" s="1"/>
  <c r="Q242" i="6" s="1"/>
  <c r="S210" i="6"/>
  <c r="K210" i="6"/>
  <c r="M210" i="6" s="1"/>
  <c r="Q210" i="6" s="1"/>
  <c r="K170" i="6"/>
  <c r="M170" i="6" s="1"/>
  <c r="P170" i="6" s="1"/>
  <c r="S170" i="6"/>
  <c r="S130" i="6"/>
  <c r="K130" i="6"/>
  <c r="M130" i="6" s="1"/>
  <c r="Q130" i="6" s="1"/>
  <c r="K106" i="6"/>
  <c r="M106" i="6" s="1"/>
  <c r="Q106" i="6" s="1"/>
  <c r="S106" i="6"/>
  <c r="S90" i="6"/>
  <c r="K90" i="6"/>
  <c r="M90" i="6" s="1"/>
  <c r="P90" i="6" s="1"/>
  <c r="S74" i="6"/>
  <c r="K74" i="6"/>
  <c r="M74" i="6" s="1"/>
  <c r="Q74" i="6" s="1"/>
  <c r="S50" i="6"/>
  <c r="K50" i="6"/>
  <c r="M50" i="6" s="1"/>
  <c r="P50" i="6" s="1"/>
  <c r="K2" i="6"/>
  <c r="M2" i="6" s="1"/>
  <c r="P2" i="6" s="1"/>
  <c r="S2" i="6"/>
  <c r="S362" i="6"/>
  <c r="K362" i="6"/>
  <c r="M362" i="6" s="1"/>
  <c r="Q362" i="6" s="1"/>
  <c r="S258" i="6"/>
  <c r="K258" i="6"/>
  <c r="M258" i="6" s="1"/>
  <c r="P258" i="6" s="1"/>
  <c r="K10" i="6"/>
  <c r="M10" i="6" s="1"/>
  <c r="Q10" i="6" s="1"/>
  <c r="S10" i="6"/>
  <c r="S370" i="6"/>
  <c r="K370" i="6"/>
  <c r="M370" i="6" s="1"/>
  <c r="Q370" i="6" s="1"/>
  <c r="S322" i="6"/>
  <c r="K322" i="6"/>
  <c r="M322" i="6" s="1"/>
  <c r="Q322" i="6" s="1"/>
  <c r="S282" i="6"/>
  <c r="K282" i="6"/>
  <c r="M282" i="6" s="1"/>
  <c r="Q282" i="6" s="1"/>
  <c r="S194" i="6"/>
  <c r="K194" i="6"/>
  <c r="M194" i="6" s="1"/>
  <c r="Q194" i="6" s="1"/>
  <c r="S154" i="6"/>
  <c r="K154" i="6"/>
  <c r="M154" i="6" s="1"/>
  <c r="Q154" i="6" s="1"/>
  <c r="S114" i="6"/>
  <c r="K114" i="6"/>
  <c r="M114" i="6" s="1"/>
  <c r="P114" i="6" s="1"/>
  <c r="S82" i="6"/>
  <c r="K82" i="6"/>
  <c r="M82" i="6" s="1"/>
  <c r="P82" i="6" s="1"/>
  <c r="S18" i="6"/>
  <c r="K18" i="6"/>
  <c r="M18" i="6" s="1"/>
  <c r="Q18" i="6" s="1"/>
  <c r="S394" i="6"/>
  <c r="K394" i="6"/>
  <c r="M394" i="6" s="1"/>
  <c r="Q394" i="6" s="1"/>
  <c r="S330" i="6"/>
  <c r="K330" i="6"/>
  <c r="M330" i="6" s="1"/>
  <c r="Q330" i="6" s="1"/>
  <c r="S266" i="6"/>
  <c r="K266" i="6"/>
  <c r="M266" i="6" s="1"/>
  <c r="Q266" i="6" s="1"/>
  <c r="S42" i="6"/>
  <c r="K42" i="6"/>
  <c r="M42" i="6" s="1"/>
  <c r="Q42" i="6" s="1"/>
  <c r="S386" i="6"/>
  <c r="K386" i="6"/>
  <c r="M386" i="6" s="1"/>
  <c r="Q386" i="6" s="1"/>
  <c r="K338" i="6"/>
  <c r="M338" i="6" s="1"/>
  <c r="Q338" i="6" s="1"/>
  <c r="S338" i="6"/>
  <c r="S290" i="6"/>
  <c r="K290" i="6"/>
  <c r="M290" i="6" s="1"/>
  <c r="Q290" i="6" s="1"/>
  <c r="S234" i="6"/>
  <c r="K234" i="6"/>
  <c r="M234" i="6" s="1"/>
  <c r="Q234" i="6" s="1"/>
  <c r="S202" i="6"/>
  <c r="K202" i="6"/>
  <c r="M202" i="6" s="1"/>
  <c r="P202" i="6" s="1"/>
  <c r="K162" i="6"/>
  <c r="M162" i="6" s="1"/>
  <c r="P162" i="6" s="1"/>
  <c r="S162" i="6"/>
  <c r="S138" i="6"/>
  <c r="K138" i="6"/>
  <c r="M138" i="6" s="1"/>
  <c r="Q138" i="6" s="1"/>
  <c r="S26" i="6"/>
  <c r="K26" i="6"/>
  <c r="M26" i="6" s="1"/>
  <c r="P26" i="6" s="1"/>
  <c r="K354" i="6"/>
  <c r="M354" i="6" s="1"/>
  <c r="Q354" i="6" s="1"/>
  <c r="S354" i="6"/>
  <c r="S306" i="6"/>
  <c r="K306" i="6"/>
  <c r="M306" i="6" s="1"/>
  <c r="Q306" i="6" s="1"/>
  <c r="S274" i="6"/>
  <c r="K274" i="6"/>
  <c r="M274" i="6" s="1"/>
  <c r="Q274" i="6" s="1"/>
  <c r="S178" i="6"/>
  <c r="K178" i="6"/>
  <c r="M178" i="6" s="1"/>
  <c r="Q178" i="6" s="1"/>
  <c r="S146" i="6"/>
  <c r="K146" i="6"/>
  <c r="M146" i="6" s="1"/>
  <c r="Q146" i="6" s="1"/>
  <c r="K34" i="6"/>
  <c r="M34" i="6" s="1"/>
  <c r="P34" i="6" s="1"/>
  <c r="S34" i="6"/>
  <c r="K374" i="6"/>
  <c r="M374" i="6" s="1"/>
  <c r="Q374" i="6" s="1"/>
  <c r="K254" i="6"/>
  <c r="M254" i="6" s="1"/>
  <c r="Q254" i="6" s="1"/>
  <c r="S365" i="6"/>
  <c r="S230" i="6"/>
  <c r="S197" i="6"/>
  <c r="K110" i="6"/>
  <c r="M110" i="6" s="1"/>
  <c r="Q110" i="6" s="1"/>
  <c r="K102" i="6"/>
  <c r="M102" i="6" s="1"/>
  <c r="Q102" i="6" s="1"/>
  <c r="K30" i="6"/>
  <c r="M30" i="6" s="1"/>
  <c r="Q30" i="6" s="1"/>
  <c r="S14" i="6"/>
  <c r="K358" i="6"/>
  <c r="M358" i="6" s="1"/>
  <c r="Q358" i="6" s="1"/>
  <c r="K238" i="6"/>
  <c r="M238" i="6" s="1"/>
  <c r="Q238" i="6" s="1"/>
  <c r="K122" i="6"/>
  <c r="M122" i="6" s="1"/>
  <c r="P122" i="6" s="1"/>
  <c r="K58" i="6"/>
  <c r="M58" i="6" s="1"/>
  <c r="Q58" i="6" s="1"/>
  <c r="S366" i="6"/>
  <c r="K373" i="6"/>
  <c r="M373" i="6" s="1"/>
  <c r="Q373" i="6" s="1"/>
  <c r="K253" i="6"/>
  <c r="M253" i="6" s="1"/>
  <c r="Q253" i="6" s="1"/>
  <c r="K245" i="6"/>
  <c r="M245" i="6" s="1"/>
  <c r="Q245" i="6" s="1"/>
  <c r="K214" i="6"/>
  <c r="M214" i="6" s="1"/>
  <c r="Q214" i="6" s="1"/>
  <c r="K205" i="6"/>
  <c r="M205" i="6" s="1"/>
  <c r="Q205" i="6" s="1"/>
  <c r="K314" i="6"/>
  <c r="M314" i="6" s="1"/>
  <c r="Q314" i="6" s="1"/>
  <c r="K262" i="6"/>
  <c r="M262" i="6" s="1"/>
  <c r="Q262" i="6" s="1"/>
  <c r="K213" i="6"/>
  <c r="M213" i="6" s="1"/>
  <c r="P213" i="6" s="1"/>
  <c r="K166" i="6"/>
  <c r="M166" i="6" s="1"/>
  <c r="Q166" i="6" s="1"/>
  <c r="K46" i="6"/>
  <c r="M46" i="6" s="1"/>
  <c r="P46" i="6" s="1"/>
  <c r="S294" i="6"/>
  <c r="S150" i="6"/>
  <c r="S94" i="6"/>
  <c r="K270" i="6"/>
  <c r="M270" i="6" s="1"/>
  <c r="Q270" i="6" s="1"/>
  <c r="K261" i="6"/>
  <c r="M261" i="6" s="1"/>
  <c r="Q261" i="6" s="1"/>
  <c r="K222" i="6"/>
  <c r="M222" i="6" s="1"/>
  <c r="Q222" i="6" s="1"/>
  <c r="K174" i="6"/>
  <c r="M174" i="6" s="1"/>
  <c r="P174" i="6" s="1"/>
  <c r="K126" i="6"/>
  <c r="M126" i="6" s="1"/>
  <c r="Q126" i="6" s="1"/>
  <c r="S278" i="6"/>
  <c r="K390" i="6"/>
  <c r="M390" i="6" s="1"/>
  <c r="P390" i="6" s="1"/>
  <c r="K334" i="6"/>
  <c r="M334" i="6" s="1"/>
  <c r="P334" i="6" s="1"/>
  <c r="K250" i="6"/>
  <c r="M250" i="6" s="1"/>
  <c r="Q250" i="6" s="1"/>
  <c r="K221" i="6"/>
  <c r="M221" i="6" s="1"/>
  <c r="Q221" i="6" s="1"/>
  <c r="K182" i="6"/>
  <c r="M182" i="6" s="1"/>
  <c r="Q182" i="6" s="1"/>
  <c r="K134" i="6"/>
  <c r="M134" i="6" s="1"/>
  <c r="Q134" i="6" s="1"/>
  <c r="K389" i="6"/>
  <c r="M389" i="6" s="1"/>
  <c r="P389" i="6" s="1"/>
  <c r="K342" i="6"/>
  <c r="M342" i="6" s="1"/>
  <c r="P342" i="6" s="1"/>
  <c r="K286" i="6"/>
  <c r="M286" i="6" s="1"/>
  <c r="Q286" i="6" s="1"/>
  <c r="K142" i="6"/>
  <c r="M142" i="6" s="1"/>
  <c r="Q142" i="6" s="1"/>
  <c r="P356" i="6"/>
  <c r="Q268" i="6"/>
  <c r="Q260" i="6"/>
  <c r="Q116" i="6"/>
  <c r="Q52" i="6"/>
  <c r="Q400" i="6"/>
  <c r="Q368" i="6"/>
  <c r="Q360" i="6"/>
  <c r="Q240" i="6"/>
  <c r="Q200" i="6"/>
  <c r="Q172" i="6"/>
  <c r="Q124" i="6"/>
  <c r="Q96" i="6"/>
  <c r="Q16" i="6"/>
  <c r="P388" i="6"/>
  <c r="Q376" i="6"/>
  <c r="Q367" i="6"/>
  <c r="Q359" i="6"/>
  <c r="Q340" i="6"/>
  <c r="Q248" i="6"/>
  <c r="Q199" i="6"/>
  <c r="Q180" i="6"/>
  <c r="Q160" i="6"/>
  <c r="Q95" i="6"/>
  <c r="Q24" i="6"/>
  <c r="Q375" i="6"/>
  <c r="Q366" i="6"/>
  <c r="Q300" i="6"/>
  <c r="Q247" i="6"/>
  <c r="Q216" i="6"/>
  <c r="Q112" i="6"/>
  <c r="Q104" i="6"/>
  <c r="Q94" i="6"/>
  <c r="Q32" i="6"/>
  <c r="Q22" i="6"/>
  <c r="Q14" i="6"/>
  <c r="P364" i="6"/>
  <c r="P380" i="6"/>
  <c r="Q212" i="6"/>
  <c r="Q164" i="6"/>
  <c r="Q108" i="6"/>
  <c r="Q28" i="6"/>
  <c r="P396" i="6"/>
  <c r="Q383" i="6"/>
  <c r="Q365" i="6"/>
  <c r="Q357" i="6"/>
  <c r="P348" i="6"/>
  <c r="Q328" i="6"/>
  <c r="Q316" i="6"/>
  <c r="Q308" i="6"/>
  <c r="Q215" i="6"/>
  <c r="Q206" i="6"/>
  <c r="Q156" i="6"/>
  <c r="Q93" i="6"/>
  <c r="Q76" i="6"/>
  <c r="Q68" i="6"/>
  <c r="Q48" i="6"/>
  <c r="Q40" i="6"/>
  <c r="Q21" i="6"/>
  <c r="Q13" i="6"/>
  <c r="Q92" i="6"/>
  <c r="Q56" i="6"/>
  <c r="Q252" i="6"/>
  <c r="Q8" i="6"/>
  <c r="M3" i="6"/>
  <c r="P3" i="6" s="1"/>
  <c r="M37" i="6"/>
  <c r="P37" i="6" s="1"/>
  <c r="M4" i="6"/>
  <c r="P4" i="6" s="1"/>
  <c r="Q395" i="6"/>
  <c r="Q379" i="6"/>
  <c r="Q355" i="6"/>
  <c r="Q307" i="6"/>
  <c r="Q275" i="6"/>
  <c r="Q243" i="6"/>
  <c r="Q227" i="6"/>
  <c r="Q171" i="6"/>
  <c r="Q155" i="6"/>
  <c r="Q123" i="6"/>
  <c r="Q107" i="6"/>
  <c r="Q91" i="6"/>
  <c r="Q75" i="6"/>
  <c r="Q51" i="6"/>
  <c r="Q35" i="6"/>
  <c r="Q19" i="6"/>
  <c r="Q363" i="6"/>
  <c r="Q347" i="6"/>
  <c r="Q315" i="6"/>
  <c r="Q299" i="6"/>
  <c r="Q283" i="6"/>
  <c r="Q267" i="6"/>
  <c r="Q251" i="6"/>
  <c r="Q235" i="6"/>
  <c r="Q219" i="6"/>
  <c r="Q203" i="6"/>
  <c r="Q187" i="6"/>
  <c r="Q163" i="6"/>
  <c r="Q147" i="6"/>
  <c r="Q131" i="6"/>
  <c r="Q115" i="6"/>
  <c r="Q99" i="6"/>
  <c r="Q67" i="6"/>
  <c r="Q43" i="6"/>
  <c r="Q11" i="6"/>
  <c r="Q39" i="6"/>
  <c r="Q31" i="6"/>
  <c r="Q15" i="6"/>
  <c r="Q7" i="6"/>
  <c r="Q401" i="6"/>
  <c r="Q377" i="6"/>
  <c r="Q369" i="6"/>
  <c r="Q361" i="6"/>
  <c r="Q353" i="6"/>
  <c r="Q329" i="6"/>
  <c r="Q321" i="6"/>
  <c r="Q313" i="6"/>
  <c r="Q305" i="6"/>
  <c r="Q297" i="6"/>
  <c r="Q281" i="6"/>
  <c r="Q265" i="6"/>
  <c r="Q249" i="6"/>
  <c r="Q233" i="6"/>
  <c r="Q225" i="6"/>
  <c r="Q217" i="6"/>
  <c r="Q201" i="6"/>
  <c r="Q185" i="6"/>
  <c r="Q169" i="6"/>
  <c r="Q153" i="6"/>
  <c r="Q137" i="6"/>
  <c r="Q121" i="6"/>
  <c r="Q105" i="6"/>
  <c r="Q97" i="6"/>
  <c r="Q81" i="6"/>
  <c r="Q65" i="6"/>
  <c r="Q57" i="6"/>
  <c r="Q49" i="6"/>
  <c r="Q41" i="6"/>
  <c r="Q25" i="6"/>
  <c r="Q17" i="6"/>
  <c r="Q9" i="6"/>
  <c r="Q129" i="6"/>
  <c r="Q177" i="6"/>
  <c r="Q193" i="6"/>
  <c r="Q289" i="6"/>
  <c r="Q33" i="6"/>
  <c r="Q89" i="6"/>
  <c r="Q337" i="6"/>
  <c r="Q209" i="6"/>
  <c r="Q145" i="6"/>
  <c r="Q73" i="6"/>
  <c r="Q344" i="6"/>
  <c r="Q312" i="6"/>
  <c r="Q264" i="6"/>
  <c r="Q176" i="6"/>
  <c r="Q335" i="6"/>
  <c r="Q319" i="6"/>
  <c r="Q239" i="6"/>
  <c r="Q207" i="6"/>
  <c r="Q159" i="6"/>
  <c r="Q111" i="6"/>
  <c r="Q103" i="6"/>
  <c r="Q318" i="6"/>
  <c r="Q310" i="6"/>
  <c r="Q246" i="6"/>
  <c r="Q230" i="6"/>
  <c r="Q190" i="6"/>
  <c r="Q78" i="6"/>
  <c r="Q6" i="6"/>
  <c r="Q277" i="6"/>
  <c r="Q133" i="6"/>
  <c r="Q117" i="6"/>
  <c r="Q29" i="6"/>
  <c r="Q5" i="6"/>
  <c r="Q396" i="6"/>
  <c r="Q388" i="6"/>
  <c r="Q380" i="6"/>
  <c r="Q364" i="6"/>
  <c r="Q356" i="6"/>
  <c r="Q348" i="6"/>
  <c r="Q292" i="6"/>
  <c r="Q284" i="6"/>
  <c r="Q276" i="6"/>
  <c r="Q244" i="6"/>
  <c r="Q236" i="6"/>
  <c r="Q228" i="6"/>
  <c r="Q196" i="6"/>
  <c r="Q148" i="6"/>
  <c r="Q100" i="6"/>
  <c r="Q84" i="6"/>
  <c r="Q60" i="6"/>
  <c r="Q20" i="6"/>
  <c r="Q371" i="6"/>
  <c r="Q339" i="6"/>
  <c r="Q331" i="6"/>
  <c r="Q323" i="6"/>
  <c r="Q291" i="6"/>
  <c r="Q259" i="6"/>
  <c r="Q211" i="6"/>
  <c r="Q195" i="6"/>
  <c r="Q83" i="6"/>
  <c r="P340" i="6"/>
  <c r="P316" i="6"/>
  <c r="P308" i="6"/>
  <c r="P300" i="6"/>
  <c r="P268" i="6"/>
  <c r="P260" i="6"/>
  <c r="P252" i="6"/>
  <c r="P212" i="6"/>
  <c r="P180" i="6"/>
  <c r="P172" i="6"/>
  <c r="P164" i="6"/>
  <c r="P156" i="6"/>
  <c r="P124" i="6"/>
  <c r="P116" i="6"/>
  <c r="P108" i="6"/>
  <c r="P92" i="6"/>
  <c r="P76" i="6"/>
  <c r="P68" i="6"/>
  <c r="P52" i="6"/>
  <c r="P28" i="6"/>
  <c r="P65" i="6"/>
  <c r="P136" i="6"/>
  <c r="J255" i="7"/>
  <c r="M255" i="7" s="1"/>
  <c r="J132" i="7"/>
  <c r="M132" i="7" s="1"/>
  <c r="J116" i="7"/>
  <c r="M116" i="7" s="1"/>
  <c r="J12" i="7"/>
  <c r="M12" i="7" s="1"/>
  <c r="J172" i="7"/>
  <c r="M172" i="7" s="1"/>
  <c r="J148" i="7"/>
  <c r="M148" i="7" s="1"/>
  <c r="J84" i="7"/>
  <c r="M84" i="7" s="1"/>
  <c r="J52" i="7"/>
  <c r="M52" i="7" s="1"/>
  <c r="J212" i="7"/>
  <c r="M212" i="7" s="1"/>
  <c r="J108" i="7"/>
  <c r="M108" i="7" s="1"/>
  <c r="J28" i="7"/>
  <c r="M28" i="7" s="1"/>
  <c r="J124" i="7"/>
  <c r="M124" i="7" s="1"/>
  <c r="J68" i="7"/>
  <c r="M68" i="7" s="1"/>
  <c r="J44" i="7"/>
  <c r="M44" i="7" s="1"/>
  <c r="J188" i="7"/>
  <c r="M188" i="7" s="1"/>
  <c r="J164" i="7"/>
  <c r="M164" i="7" s="1"/>
  <c r="J140" i="7"/>
  <c r="M140" i="7" s="1"/>
  <c r="J92" i="7"/>
  <c r="M92" i="7" s="1"/>
  <c r="J49" i="7"/>
  <c r="M49" i="7" s="1"/>
  <c r="J177" i="7"/>
  <c r="M177" i="7" s="1"/>
  <c r="J33" i="7"/>
  <c r="M33" i="7" s="1"/>
  <c r="J169" i="7"/>
  <c r="M169" i="7" s="1"/>
  <c r="K122" i="7"/>
  <c r="L122" i="7" s="1"/>
  <c r="K66" i="7"/>
  <c r="L66" i="7" s="1"/>
  <c r="J113" i="7"/>
  <c r="M113" i="7" s="1"/>
  <c r="K58" i="7"/>
  <c r="L58" i="7" s="1"/>
  <c r="K242" i="7"/>
  <c r="L242" i="7" s="1"/>
  <c r="K178" i="7"/>
  <c r="L178" i="7" s="1"/>
  <c r="K114" i="7"/>
  <c r="L114" i="7" s="1"/>
  <c r="K50" i="7"/>
  <c r="L50" i="7" s="1"/>
  <c r="J145" i="7"/>
  <c r="M145" i="7" s="1"/>
  <c r="J161" i="7"/>
  <c r="M161" i="7" s="1"/>
  <c r="J89" i="7"/>
  <c r="M89" i="7" s="1"/>
  <c r="J17" i="7"/>
  <c r="M17" i="7" s="1"/>
  <c r="J153" i="7"/>
  <c r="M153" i="7" s="1"/>
  <c r="J73" i="7"/>
  <c r="M73" i="7" s="1"/>
  <c r="K298" i="7"/>
  <c r="L298" i="7" s="1"/>
  <c r="K106" i="7"/>
  <c r="L106" i="7" s="1"/>
  <c r="K258" i="7"/>
  <c r="L258" i="7" s="1"/>
  <c r="K186" i="7"/>
  <c r="L186" i="7" s="1"/>
  <c r="K290" i="7"/>
  <c r="L290" i="7" s="1"/>
  <c r="K162" i="7"/>
  <c r="L162" i="7" s="1"/>
  <c r="K98" i="7"/>
  <c r="L98" i="7" s="1"/>
  <c r="K34" i="7"/>
  <c r="L34" i="7" s="1"/>
  <c r="J241" i="7"/>
  <c r="M241" i="7" s="1"/>
  <c r="J97" i="7"/>
  <c r="M97" i="7" s="1"/>
  <c r="J25" i="7"/>
  <c r="M25" i="7" s="1"/>
  <c r="J217" i="7"/>
  <c r="M217" i="7" s="1"/>
  <c r="J129" i="7"/>
  <c r="M129" i="7" s="1"/>
  <c r="J65" i="7"/>
  <c r="M65" i="7" s="1"/>
  <c r="K218" i="7"/>
  <c r="L218" i="7" s="1"/>
  <c r="K26" i="7"/>
  <c r="L26" i="7" s="1"/>
  <c r="K250" i="7"/>
  <c r="L250" i="7" s="1"/>
  <c r="J225" i="7"/>
  <c r="M225" i="7" s="1"/>
  <c r="J137" i="7"/>
  <c r="M137" i="7" s="1"/>
  <c r="J201" i="7"/>
  <c r="M201" i="7" s="1"/>
  <c r="J57" i="7"/>
  <c r="M57" i="7" s="1"/>
  <c r="K274" i="7"/>
  <c r="L274" i="7" s="1"/>
  <c r="K210" i="7"/>
  <c r="L210" i="7" s="1"/>
  <c r="K82" i="7"/>
  <c r="L82" i="7" s="1"/>
  <c r="K18" i="7"/>
  <c r="L18" i="7" s="1"/>
  <c r="K266" i="7"/>
  <c r="L266" i="7" s="1"/>
  <c r="K202" i="7"/>
  <c r="L202" i="7" s="1"/>
  <c r="K138" i="7"/>
  <c r="L138" i="7" s="1"/>
  <c r="K74" i="7"/>
  <c r="L74" i="7" s="1"/>
  <c r="K289" i="7"/>
  <c r="L289" i="7" s="1"/>
  <c r="K281" i="7"/>
  <c r="L281" i="7" s="1"/>
  <c r="K265" i="7"/>
  <c r="L265" i="7" s="1"/>
  <c r="K249" i="7"/>
  <c r="L249" i="7" s="1"/>
  <c r="K233" i="7"/>
  <c r="L233" i="7" s="1"/>
  <c r="J211" i="7"/>
  <c r="M211" i="7" s="1"/>
  <c r="J155" i="7"/>
  <c r="M155" i="7" s="1"/>
  <c r="J59" i="7"/>
  <c r="M59" i="7" s="1"/>
  <c r="J19" i="7"/>
  <c r="M19" i="7" s="1"/>
  <c r="K296" i="7"/>
  <c r="L296" i="7" s="1"/>
  <c r="K288" i="7"/>
  <c r="L288" i="7" s="1"/>
  <c r="K280" i="7"/>
  <c r="L280" i="7" s="1"/>
  <c r="K272" i="7"/>
  <c r="L272" i="7" s="1"/>
  <c r="K256" i="7"/>
  <c r="L256" i="7" s="1"/>
  <c r="K248" i="7"/>
  <c r="L248" i="7" s="1"/>
  <c r="K224" i="7"/>
  <c r="L224" i="7" s="1"/>
  <c r="K216" i="7"/>
  <c r="L216" i="7" s="1"/>
  <c r="K200" i="7"/>
  <c r="L200" i="7" s="1"/>
  <c r="K184" i="7"/>
  <c r="L184" i="7" s="1"/>
  <c r="K176" i="7"/>
  <c r="L176" i="7" s="1"/>
  <c r="K160" i="7"/>
  <c r="L160" i="7" s="1"/>
  <c r="K152" i="7"/>
  <c r="L152" i="7" s="1"/>
  <c r="K144" i="7"/>
  <c r="L144" i="7" s="1"/>
  <c r="K136" i="7"/>
  <c r="L136" i="7" s="1"/>
  <c r="K128" i="7"/>
  <c r="L128" i="7" s="1"/>
  <c r="K112" i="7"/>
  <c r="L112" i="7" s="1"/>
  <c r="K104" i="7"/>
  <c r="L104" i="7" s="1"/>
  <c r="K96" i="7"/>
  <c r="L96" i="7" s="1"/>
  <c r="K88" i="7"/>
  <c r="L88" i="7" s="1"/>
  <c r="K80" i="7"/>
  <c r="L80" i="7" s="1"/>
  <c r="K72" i="7"/>
  <c r="L72" i="7" s="1"/>
  <c r="K64" i="7"/>
  <c r="L64" i="7" s="1"/>
  <c r="K40" i="7"/>
  <c r="L40" i="7" s="1"/>
  <c r="K32" i="7"/>
  <c r="L32" i="7" s="1"/>
  <c r="K24" i="7"/>
  <c r="L24" i="7" s="1"/>
  <c r="K8" i="7"/>
  <c r="L8" i="7" s="1"/>
  <c r="K295" i="7"/>
  <c r="L295" i="7" s="1"/>
  <c r="K287" i="7"/>
  <c r="L287" i="7" s="1"/>
  <c r="K279" i="7"/>
  <c r="L279" i="7" s="1"/>
  <c r="K271" i="7"/>
  <c r="L271" i="7" s="1"/>
  <c r="K247" i="7"/>
  <c r="L247" i="7" s="1"/>
  <c r="K239" i="7"/>
  <c r="L239" i="7" s="1"/>
  <c r="K231" i="7"/>
  <c r="L231" i="7" s="1"/>
  <c r="K215" i="7"/>
  <c r="L215" i="7" s="1"/>
  <c r="K199" i="7"/>
  <c r="L199" i="7" s="1"/>
  <c r="K191" i="7"/>
  <c r="L191" i="7" s="1"/>
  <c r="K183" i="7"/>
  <c r="L183" i="7" s="1"/>
  <c r="K167" i="7"/>
  <c r="L167" i="7" s="1"/>
  <c r="K159" i="7"/>
  <c r="L159" i="7" s="1"/>
  <c r="K143" i="7"/>
  <c r="L143" i="7" s="1"/>
  <c r="K135" i="7"/>
  <c r="L135" i="7" s="1"/>
  <c r="K127" i="7"/>
  <c r="L127" i="7" s="1"/>
  <c r="K111" i="7"/>
  <c r="L111" i="7" s="1"/>
  <c r="K103" i="7"/>
  <c r="L103" i="7" s="1"/>
  <c r="K95" i="7"/>
  <c r="L95" i="7" s="1"/>
  <c r="K79" i="7"/>
  <c r="L79" i="7" s="1"/>
  <c r="K71" i="7"/>
  <c r="L71" i="7" s="1"/>
  <c r="K63" i="7"/>
  <c r="L63" i="7" s="1"/>
  <c r="K47" i="7"/>
  <c r="L47" i="7" s="1"/>
  <c r="K31" i="7"/>
  <c r="L31" i="7" s="1"/>
  <c r="K23" i="7"/>
  <c r="L23" i="7" s="1"/>
  <c r="K7" i="7"/>
  <c r="L7" i="7" s="1"/>
  <c r="J187" i="7"/>
  <c r="M187" i="7" s="1"/>
  <c r="J147" i="7"/>
  <c r="M147" i="7" s="1"/>
  <c r="J51" i="7"/>
  <c r="M51" i="7" s="1"/>
  <c r="J11" i="7"/>
  <c r="M11" i="7" s="1"/>
  <c r="K294" i="7"/>
  <c r="L294" i="7" s="1"/>
  <c r="K286" i="7"/>
  <c r="L286" i="7" s="1"/>
  <c r="K278" i="7"/>
  <c r="L278" i="7" s="1"/>
  <c r="K270" i="7"/>
  <c r="L270" i="7" s="1"/>
  <c r="K262" i="7"/>
  <c r="L262" i="7" s="1"/>
  <c r="K254" i="7"/>
  <c r="L254" i="7" s="1"/>
  <c r="K246" i="7"/>
  <c r="L246" i="7" s="1"/>
  <c r="K238" i="7"/>
  <c r="L238" i="7" s="1"/>
  <c r="K214" i="7"/>
  <c r="L214" i="7" s="1"/>
  <c r="K206" i="7"/>
  <c r="L206" i="7" s="1"/>
  <c r="K198" i="7"/>
  <c r="L198" i="7" s="1"/>
  <c r="K190" i="7"/>
  <c r="L190" i="7" s="1"/>
  <c r="K182" i="7"/>
  <c r="L182" i="7" s="1"/>
  <c r="K166" i="7"/>
  <c r="L166" i="7" s="1"/>
  <c r="K158" i="7"/>
  <c r="L158" i="7" s="1"/>
  <c r="K150" i="7"/>
  <c r="L150" i="7" s="1"/>
  <c r="K126" i="7"/>
  <c r="L126" i="7" s="1"/>
  <c r="K118" i="7"/>
  <c r="L118" i="7" s="1"/>
  <c r="K110" i="7"/>
  <c r="L110" i="7" s="1"/>
  <c r="K102" i="7"/>
  <c r="L102" i="7" s="1"/>
  <c r="K94" i="7"/>
  <c r="L94" i="7" s="1"/>
  <c r="K86" i="7"/>
  <c r="L86" i="7" s="1"/>
  <c r="K78" i="7"/>
  <c r="L78" i="7" s="1"/>
  <c r="K70" i="7"/>
  <c r="L70" i="7" s="1"/>
  <c r="K54" i="7"/>
  <c r="L54" i="7" s="1"/>
  <c r="K38" i="7"/>
  <c r="L38" i="7" s="1"/>
  <c r="K30" i="7"/>
  <c r="L30" i="7" s="1"/>
  <c r="K22" i="7"/>
  <c r="L22" i="7" s="1"/>
  <c r="K6" i="7"/>
  <c r="L6" i="7" s="1"/>
  <c r="J83" i="7"/>
  <c r="M83" i="7" s="1"/>
  <c r="K293" i="7"/>
  <c r="L293" i="7" s="1"/>
  <c r="K285" i="7"/>
  <c r="L285" i="7" s="1"/>
  <c r="K277" i="7"/>
  <c r="L277" i="7" s="1"/>
  <c r="K269" i="7"/>
  <c r="L269" i="7" s="1"/>
  <c r="K253" i="7"/>
  <c r="L253" i="7" s="1"/>
  <c r="K237" i="7"/>
  <c r="L237" i="7" s="1"/>
  <c r="K229" i="7"/>
  <c r="L229" i="7" s="1"/>
  <c r="K221" i="7"/>
  <c r="L221" i="7" s="1"/>
  <c r="K205" i="7"/>
  <c r="L205" i="7" s="1"/>
  <c r="K197" i="7"/>
  <c r="L197" i="7" s="1"/>
  <c r="K189" i="7"/>
  <c r="L189" i="7" s="1"/>
  <c r="K181" i="7"/>
  <c r="L181" i="7" s="1"/>
  <c r="K173" i="7"/>
  <c r="L173" i="7" s="1"/>
  <c r="K157" i="7"/>
  <c r="L157" i="7" s="1"/>
  <c r="K149" i="7"/>
  <c r="L149" i="7" s="1"/>
  <c r="K133" i="7"/>
  <c r="L133" i="7" s="1"/>
  <c r="K117" i="7"/>
  <c r="L117" i="7" s="1"/>
  <c r="K101" i="7"/>
  <c r="L101" i="7" s="1"/>
  <c r="K93" i="7"/>
  <c r="L93" i="7" s="1"/>
  <c r="K85" i="7"/>
  <c r="L85" i="7" s="1"/>
  <c r="K77" i="7"/>
  <c r="L77" i="7" s="1"/>
  <c r="K69" i="7"/>
  <c r="L69" i="7" s="1"/>
  <c r="K61" i="7"/>
  <c r="L61" i="7" s="1"/>
  <c r="K53" i="7"/>
  <c r="L53" i="7" s="1"/>
  <c r="K45" i="7"/>
  <c r="L45" i="7" s="1"/>
  <c r="K29" i="7"/>
  <c r="L29" i="7" s="1"/>
  <c r="K21" i="7"/>
  <c r="L21" i="7" s="1"/>
  <c r="K5" i="7"/>
  <c r="L5" i="7" s="1"/>
  <c r="J243" i="7"/>
  <c r="M243" i="7" s="1"/>
  <c r="K292" i="7"/>
  <c r="L292" i="7" s="1"/>
  <c r="K284" i="7"/>
  <c r="L284" i="7" s="1"/>
  <c r="K276" i="7"/>
  <c r="L276" i="7" s="1"/>
  <c r="K268" i="7"/>
  <c r="L268" i="7" s="1"/>
  <c r="K260" i="7"/>
  <c r="L260" i="7" s="1"/>
  <c r="K252" i="7"/>
  <c r="L252" i="7" s="1"/>
  <c r="J179" i="7"/>
  <c r="M179" i="7" s="1"/>
  <c r="J171" i="7"/>
  <c r="M171" i="7" s="1"/>
  <c r="J75" i="7"/>
  <c r="M75" i="7" s="1"/>
  <c r="J43" i="7"/>
  <c r="M43" i="7" s="1"/>
  <c r="J107" i="7"/>
  <c r="M107" i="7" s="1"/>
  <c r="J235" i="7"/>
  <c r="M235" i="7" s="1"/>
  <c r="J123" i="7"/>
  <c r="M123" i="7" s="1"/>
  <c r="J35" i="7"/>
  <c r="M35" i="7" s="1"/>
  <c r="K299" i="7"/>
  <c r="L299" i="7" s="1"/>
  <c r="K291" i="7"/>
  <c r="L291" i="7" s="1"/>
  <c r="K283" i="7"/>
  <c r="L283" i="7" s="1"/>
  <c r="K275" i="7"/>
  <c r="L275" i="7" s="1"/>
  <c r="K267" i="7"/>
  <c r="L267" i="7" s="1"/>
  <c r="K259" i="7"/>
  <c r="L259" i="7" s="1"/>
  <c r="K2" i="7"/>
  <c r="L2" i="7" s="1"/>
  <c r="M141" i="6"/>
  <c r="R184" i="6"/>
  <c r="M120" i="6"/>
  <c r="M381" i="6"/>
  <c r="M255" i="6"/>
  <c r="R72" i="6"/>
  <c r="R368" i="6"/>
  <c r="P395" i="6"/>
  <c r="P379" i="6"/>
  <c r="P363" i="6"/>
  <c r="P355" i="6"/>
  <c r="P347" i="6"/>
  <c r="P315" i="6"/>
  <c r="P307" i="6"/>
  <c r="P299" i="6"/>
  <c r="P283" i="6"/>
  <c r="P275" i="6"/>
  <c r="P267" i="6"/>
  <c r="P251" i="6"/>
  <c r="P243" i="6"/>
  <c r="P235" i="6"/>
  <c r="P227" i="6"/>
  <c r="P219" i="6"/>
  <c r="P203" i="6"/>
  <c r="P187" i="6"/>
  <c r="P171" i="6"/>
  <c r="P163" i="6"/>
  <c r="P155" i="6"/>
  <c r="P147" i="6"/>
  <c r="P131" i="6"/>
  <c r="P123" i="6"/>
  <c r="P115" i="6"/>
  <c r="P107" i="6"/>
  <c r="P99" i="6"/>
  <c r="P91" i="6"/>
  <c r="P75" i="6"/>
  <c r="P67" i="6"/>
  <c r="P51" i="6"/>
  <c r="P43" i="6"/>
  <c r="P35" i="6"/>
  <c r="P19" i="6"/>
  <c r="P11" i="6"/>
  <c r="R272" i="6"/>
  <c r="R144" i="6"/>
  <c r="R48" i="6"/>
  <c r="R24" i="6"/>
  <c r="R400" i="6"/>
  <c r="R360" i="6"/>
  <c r="I96" i="4" s="1"/>
  <c r="R336" i="6"/>
  <c r="R296" i="6"/>
  <c r="R248" i="6"/>
  <c r="I139" i="4" s="1"/>
  <c r="R200" i="6"/>
  <c r="R160" i="6"/>
  <c r="R96" i="6"/>
  <c r="I143" i="4" s="1"/>
  <c r="R64" i="6"/>
  <c r="M140" i="6"/>
  <c r="P401" i="6"/>
  <c r="P377" i="6"/>
  <c r="P369" i="6"/>
  <c r="P361" i="6"/>
  <c r="P353" i="6"/>
  <c r="P329" i="6"/>
  <c r="P321" i="6"/>
  <c r="P313" i="6"/>
  <c r="P305" i="6"/>
  <c r="P297" i="6"/>
  <c r="P281" i="6"/>
  <c r="P265" i="6"/>
  <c r="P249" i="6"/>
  <c r="P233" i="6"/>
  <c r="P225" i="6"/>
  <c r="P217" i="6"/>
  <c r="P201" i="6"/>
  <c r="P185" i="6"/>
  <c r="P169" i="6"/>
  <c r="P153" i="6"/>
  <c r="P137" i="6"/>
  <c r="P121" i="6"/>
  <c r="P105" i="6"/>
  <c r="P97" i="6"/>
  <c r="P81" i="6"/>
  <c r="P57" i="6"/>
  <c r="P49" i="6"/>
  <c r="P41" i="6"/>
  <c r="P25" i="6"/>
  <c r="P17" i="6"/>
  <c r="P9" i="6"/>
  <c r="R176" i="6"/>
  <c r="R40" i="6"/>
  <c r="P400" i="6"/>
  <c r="P392" i="6"/>
  <c r="P376" i="6"/>
  <c r="P368" i="6"/>
  <c r="P360" i="6"/>
  <c r="P336" i="6"/>
  <c r="P328" i="6"/>
  <c r="P304" i="6"/>
  <c r="P296" i="6"/>
  <c r="P288" i="6"/>
  <c r="P280" i="6"/>
  <c r="P272" i="6"/>
  <c r="P248" i="6"/>
  <c r="P240" i="6"/>
  <c r="P216" i="6"/>
  <c r="P200" i="6"/>
  <c r="P192" i="6"/>
  <c r="P184" i="6"/>
  <c r="P168" i="6"/>
  <c r="P160" i="6"/>
  <c r="P152" i="6"/>
  <c r="P144" i="6"/>
  <c r="P128" i="6"/>
  <c r="P112" i="6"/>
  <c r="P104" i="6"/>
  <c r="P96" i="6"/>
  <c r="P80" i="6"/>
  <c r="P72" i="6"/>
  <c r="P64" i="6"/>
  <c r="P56" i="6"/>
  <c r="P48" i="6"/>
  <c r="P40" i="6"/>
  <c r="P32" i="6"/>
  <c r="P24" i="6"/>
  <c r="P16" i="6"/>
  <c r="P8" i="6"/>
  <c r="R288" i="6"/>
  <c r="R170" i="6"/>
  <c r="R136" i="6"/>
  <c r="I196" i="4" s="1"/>
  <c r="R16" i="6"/>
  <c r="M44" i="6"/>
  <c r="P383" i="6"/>
  <c r="P375" i="6"/>
  <c r="P367" i="6"/>
  <c r="P359" i="6"/>
  <c r="P351" i="6"/>
  <c r="P343" i="6"/>
  <c r="P311" i="6"/>
  <c r="P303" i="6"/>
  <c r="P295" i="6"/>
  <c r="P287" i="6"/>
  <c r="P279" i="6"/>
  <c r="P263" i="6"/>
  <c r="P247" i="6"/>
  <c r="P231" i="6"/>
  <c r="P223" i="6"/>
  <c r="P215" i="6"/>
  <c r="P199" i="6"/>
  <c r="P191" i="6"/>
  <c r="P183" i="6"/>
  <c r="P175" i="6"/>
  <c r="P143" i="6"/>
  <c r="P135" i="6"/>
  <c r="P127" i="6"/>
  <c r="P119" i="6"/>
  <c r="P95" i="6"/>
  <c r="P87" i="6"/>
  <c r="P79" i="6"/>
  <c r="P71" i="6"/>
  <c r="P63" i="6"/>
  <c r="P55" i="6"/>
  <c r="P47" i="6"/>
  <c r="P39" i="6"/>
  <c r="P31" i="6"/>
  <c r="P15" i="6"/>
  <c r="P7" i="6"/>
  <c r="R376" i="6"/>
  <c r="R312" i="6"/>
  <c r="R264" i="6"/>
  <c r="R240" i="6"/>
  <c r="I134" i="4" s="1"/>
  <c r="R216" i="6"/>
  <c r="R192" i="6"/>
  <c r="I142" i="4" s="1"/>
  <c r="R168" i="6"/>
  <c r="I135" i="4" s="1"/>
  <c r="R112" i="6"/>
  <c r="P398" i="6"/>
  <c r="P382" i="6"/>
  <c r="P366" i="6"/>
  <c r="P350" i="6"/>
  <c r="P302" i="6"/>
  <c r="P294" i="6"/>
  <c r="P278" i="6"/>
  <c r="P206" i="6"/>
  <c r="P150" i="6"/>
  <c r="P94" i="6"/>
  <c r="P86" i="6"/>
  <c r="P70" i="6"/>
  <c r="P22" i="6"/>
  <c r="P14" i="6"/>
  <c r="R392" i="6"/>
  <c r="R328" i="6"/>
  <c r="R280" i="6"/>
  <c r="R152" i="6"/>
  <c r="I127" i="4" s="1"/>
  <c r="R80" i="6"/>
  <c r="R56" i="6"/>
  <c r="R32" i="6"/>
  <c r="M324" i="6"/>
  <c r="M36" i="6"/>
  <c r="P397" i="6"/>
  <c r="P365" i="6"/>
  <c r="P357" i="6"/>
  <c r="P349" i="6"/>
  <c r="P317" i="6"/>
  <c r="P309" i="6"/>
  <c r="P293" i="6"/>
  <c r="P285" i="6"/>
  <c r="P229" i="6"/>
  <c r="P197" i="6"/>
  <c r="P189" i="6"/>
  <c r="P181" i="6"/>
  <c r="P173" i="6"/>
  <c r="P149" i="6"/>
  <c r="P125" i="6"/>
  <c r="P109" i="6"/>
  <c r="P93" i="6"/>
  <c r="P85" i="6"/>
  <c r="P77" i="6"/>
  <c r="P69" i="6"/>
  <c r="P61" i="6"/>
  <c r="P53" i="6"/>
  <c r="P45" i="6"/>
  <c r="P21" i="6"/>
  <c r="P13" i="6"/>
  <c r="R344" i="6"/>
  <c r="R304" i="6"/>
  <c r="R128" i="6"/>
  <c r="R104" i="6"/>
  <c r="R8" i="6"/>
  <c r="R401" i="6"/>
  <c r="R377" i="6"/>
  <c r="R369" i="6"/>
  <c r="R361" i="6"/>
  <c r="R353" i="6"/>
  <c r="R337" i="6"/>
  <c r="R329" i="6"/>
  <c r="R321" i="6"/>
  <c r="I37" i="4" s="1"/>
  <c r="R313" i="6"/>
  <c r="R305" i="6"/>
  <c r="R297" i="6"/>
  <c r="R289" i="6"/>
  <c r="R281" i="6"/>
  <c r="R265" i="6"/>
  <c r="R249" i="6"/>
  <c r="R233" i="6"/>
  <c r="I204" i="4" s="1"/>
  <c r="R225" i="6"/>
  <c r="R217" i="6"/>
  <c r="R209" i="6"/>
  <c r="I93" i="4" s="1"/>
  <c r="R201" i="6"/>
  <c r="R193" i="6"/>
  <c r="R185" i="6"/>
  <c r="R177" i="6"/>
  <c r="I24" i="4" s="1"/>
  <c r="R169" i="6"/>
  <c r="I39" i="4" s="1"/>
  <c r="R153" i="6"/>
  <c r="R145" i="6"/>
  <c r="R137" i="6"/>
  <c r="I55" i="4" s="1"/>
  <c r="R129" i="6"/>
  <c r="R121" i="6"/>
  <c r="R105" i="6"/>
  <c r="I124" i="4" s="1"/>
  <c r="R97" i="6"/>
  <c r="I182" i="4" s="1"/>
  <c r="R89" i="6"/>
  <c r="R81" i="6"/>
  <c r="R73" i="6"/>
  <c r="R65" i="6"/>
  <c r="R57" i="6"/>
  <c r="R49" i="6"/>
  <c r="I175" i="4" s="1"/>
  <c r="R41" i="6"/>
  <c r="R33" i="6"/>
  <c r="I191" i="4" s="1"/>
  <c r="R25" i="6"/>
  <c r="R17" i="6"/>
  <c r="R9" i="6"/>
  <c r="R383" i="6"/>
  <c r="R375" i="6"/>
  <c r="R367" i="6"/>
  <c r="R359" i="6"/>
  <c r="R351" i="6"/>
  <c r="R343" i="6"/>
  <c r="R335" i="6"/>
  <c r="R319" i="6"/>
  <c r="R311" i="6"/>
  <c r="R303" i="6"/>
  <c r="R295" i="6"/>
  <c r="I220" i="4" s="1"/>
  <c r="R287" i="6"/>
  <c r="I157" i="4" s="1"/>
  <c r="R279" i="6"/>
  <c r="R263" i="6"/>
  <c r="R247" i="6"/>
  <c r="R239" i="6"/>
  <c r="R231" i="6"/>
  <c r="R223" i="6"/>
  <c r="R215" i="6"/>
  <c r="I117" i="4" s="1"/>
  <c r="R207" i="6"/>
  <c r="R199" i="6"/>
  <c r="R191" i="6"/>
  <c r="R183" i="6"/>
  <c r="R175" i="6"/>
  <c r="R159" i="6"/>
  <c r="R143" i="6"/>
  <c r="R135" i="6"/>
  <c r="R127" i="6"/>
  <c r="I231" i="4" s="1"/>
  <c r="R119" i="6"/>
  <c r="R111" i="6"/>
  <c r="R103" i="6"/>
  <c r="R95" i="6"/>
  <c r="I154" i="4" s="1"/>
  <c r="R87" i="6"/>
  <c r="I210" i="4" s="1"/>
  <c r="R79" i="6"/>
  <c r="I126" i="4" s="1"/>
  <c r="R71" i="6"/>
  <c r="I31" i="4" s="1"/>
  <c r="R63" i="6"/>
  <c r="R55" i="6"/>
  <c r="R47" i="6"/>
  <c r="R39" i="6"/>
  <c r="I41" i="4" s="1"/>
  <c r="R31" i="6"/>
  <c r="R15" i="6"/>
  <c r="R7" i="6"/>
  <c r="I4" i="4" s="1"/>
  <c r="R398" i="6"/>
  <c r="R390" i="6"/>
  <c r="R382" i="6"/>
  <c r="R366" i="6"/>
  <c r="R350" i="6"/>
  <c r="I12" i="4" s="1"/>
  <c r="R318" i="6"/>
  <c r="R310" i="6"/>
  <c r="R302" i="6"/>
  <c r="R294" i="6"/>
  <c r="R278" i="6"/>
  <c r="R270" i="6"/>
  <c r="R262" i="6"/>
  <c r="R246" i="6"/>
  <c r="R230" i="6"/>
  <c r="R206" i="6"/>
  <c r="R190" i="6"/>
  <c r="R182" i="6"/>
  <c r="R174" i="6"/>
  <c r="R150" i="6"/>
  <c r="R94" i="6"/>
  <c r="R86" i="6"/>
  <c r="R78" i="6"/>
  <c r="R70" i="6"/>
  <c r="R22" i="6"/>
  <c r="R14" i="6"/>
  <c r="R6" i="6"/>
  <c r="R397" i="6"/>
  <c r="I133" i="4" s="1"/>
  <c r="R365" i="6"/>
  <c r="R357" i="6"/>
  <c r="R349" i="6"/>
  <c r="R317" i="6"/>
  <c r="R309" i="6"/>
  <c r="R293" i="6"/>
  <c r="R285" i="6"/>
  <c r="R277" i="6"/>
  <c r="R261" i="6"/>
  <c r="I224" i="4" s="1"/>
  <c r="R229" i="6"/>
  <c r="I140" i="4" s="1"/>
  <c r="R205" i="6"/>
  <c r="R197" i="6"/>
  <c r="R189" i="6"/>
  <c r="I36" i="4" s="1"/>
  <c r="R181" i="6"/>
  <c r="I90" i="4" s="1"/>
  <c r="R173" i="6"/>
  <c r="R149" i="6"/>
  <c r="R133" i="6"/>
  <c r="I73" i="4" s="1"/>
  <c r="R125" i="6"/>
  <c r="R117" i="6"/>
  <c r="R109" i="6"/>
  <c r="I221" i="4" s="1"/>
  <c r="R93" i="6"/>
  <c r="R85" i="6"/>
  <c r="I217" i="4" s="1"/>
  <c r="R77" i="6"/>
  <c r="R69" i="6"/>
  <c r="R61" i="6"/>
  <c r="R53" i="6"/>
  <c r="R45" i="6"/>
  <c r="I199" i="4" s="1"/>
  <c r="R29" i="6"/>
  <c r="R21" i="6"/>
  <c r="R13" i="6"/>
  <c r="R5" i="6"/>
  <c r="R396" i="6"/>
  <c r="I108" i="4" s="1"/>
  <c r="R388" i="6"/>
  <c r="R380" i="6"/>
  <c r="I144" i="4" s="1"/>
  <c r="R364" i="6"/>
  <c r="R356" i="6"/>
  <c r="R348" i="6"/>
  <c r="R340" i="6"/>
  <c r="R316" i="6"/>
  <c r="I177" i="4" s="1"/>
  <c r="R308" i="6"/>
  <c r="R300" i="6"/>
  <c r="R292" i="6"/>
  <c r="R284" i="6"/>
  <c r="R276" i="6"/>
  <c r="I201" i="4" s="1"/>
  <c r="R268" i="6"/>
  <c r="R260" i="6"/>
  <c r="R252" i="6"/>
  <c r="R244" i="6"/>
  <c r="R236" i="6"/>
  <c r="I5" i="4" s="1"/>
  <c r="R228" i="6"/>
  <c r="I13" i="4" s="1"/>
  <c r="R212" i="6"/>
  <c r="I9" i="4" s="1"/>
  <c r="R196" i="6"/>
  <c r="I51" i="4" s="1"/>
  <c r="R180" i="6"/>
  <c r="R172" i="6"/>
  <c r="I107" i="4" s="1"/>
  <c r="R164" i="6"/>
  <c r="R156" i="6"/>
  <c r="I60" i="4" s="1"/>
  <c r="R148" i="6"/>
  <c r="R124" i="6"/>
  <c r="R116" i="6"/>
  <c r="R108" i="6"/>
  <c r="I190" i="4" s="1"/>
  <c r="R100" i="6"/>
  <c r="R92" i="6"/>
  <c r="R84" i="6"/>
  <c r="R76" i="6"/>
  <c r="R68" i="6"/>
  <c r="R60" i="6"/>
  <c r="R52" i="6"/>
  <c r="I223" i="4" s="1"/>
  <c r="R28" i="6"/>
  <c r="I249" i="4" s="1"/>
  <c r="R20" i="6"/>
  <c r="I40" i="4" s="1"/>
  <c r="R395" i="6"/>
  <c r="R379" i="6"/>
  <c r="R371" i="6"/>
  <c r="R363" i="6"/>
  <c r="I92" i="4" s="1"/>
  <c r="R355" i="6"/>
  <c r="I171" i="4" s="1"/>
  <c r="R347" i="6"/>
  <c r="R339" i="6"/>
  <c r="I188" i="4" s="1"/>
  <c r="R331" i="6"/>
  <c r="I200" i="4" s="1"/>
  <c r="R323" i="6"/>
  <c r="I56" i="4" s="1"/>
  <c r="R315" i="6"/>
  <c r="R307" i="6"/>
  <c r="I43" i="4" s="1"/>
  <c r="R299" i="6"/>
  <c r="R291" i="6"/>
  <c r="I251" i="4" s="1"/>
  <c r="R283" i="6"/>
  <c r="R275" i="6"/>
  <c r="R267" i="6"/>
  <c r="I184" i="4" s="1"/>
  <c r="R259" i="6"/>
  <c r="R251" i="6"/>
  <c r="R243" i="6"/>
  <c r="R235" i="6"/>
  <c r="R227" i="6"/>
  <c r="R219" i="6"/>
  <c r="R211" i="6"/>
  <c r="I156" i="4" s="1"/>
  <c r="R203" i="6"/>
  <c r="I29" i="4" s="1"/>
  <c r="R195" i="6"/>
  <c r="I137" i="4" s="1"/>
  <c r="R187" i="6"/>
  <c r="R171" i="6"/>
  <c r="R163" i="6"/>
  <c r="R155" i="6"/>
  <c r="R147" i="6"/>
  <c r="R131" i="6"/>
  <c r="R123" i="6"/>
  <c r="R115" i="6"/>
  <c r="R107" i="6"/>
  <c r="R99" i="6"/>
  <c r="R91" i="6"/>
  <c r="R83" i="6"/>
  <c r="R75" i="6"/>
  <c r="R67" i="6"/>
  <c r="R51" i="6"/>
  <c r="I203" i="4" s="1"/>
  <c r="R43" i="6"/>
  <c r="I69" i="4" s="1"/>
  <c r="R35" i="6"/>
  <c r="I11" i="4" s="1"/>
  <c r="R19" i="6"/>
  <c r="R11" i="6"/>
  <c r="R2" i="6"/>
  <c r="I10" i="4" s="1"/>
  <c r="R238" i="6" l="1"/>
  <c r="R142" i="6"/>
  <c r="R334" i="6"/>
  <c r="R245" i="6"/>
  <c r="R374" i="6"/>
  <c r="R342" i="6"/>
  <c r="I197" i="4" s="1"/>
  <c r="P374" i="6"/>
  <c r="R254" i="6"/>
  <c r="I18" i="4" s="1"/>
  <c r="R214" i="6"/>
  <c r="R286" i="6"/>
  <c r="R358" i="6"/>
  <c r="I216" i="4" s="1"/>
  <c r="P205" i="6"/>
  <c r="I58" i="4"/>
  <c r="R110" i="6"/>
  <c r="I49" i="4" s="1"/>
  <c r="P10" i="6"/>
  <c r="P346" i="6"/>
  <c r="R194" i="6"/>
  <c r="P245" i="6"/>
  <c r="P142" i="6"/>
  <c r="R373" i="6"/>
  <c r="R166" i="6"/>
  <c r="I148" i="4"/>
  <c r="R134" i="6"/>
  <c r="I174" i="4" s="1"/>
  <c r="R10" i="6"/>
  <c r="P238" i="6"/>
  <c r="R102" i="6"/>
  <c r="I50" i="4" s="1"/>
  <c r="R274" i="6"/>
  <c r="P261" i="6"/>
  <c r="R213" i="6"/>
  <c r="R222" i="6"/>
  <c r="I194" i="4" s="1"/>
  <c r="R221" i="6"/>
  <c r="I147" i="4" s="1"/>
  <c r="P166" i="6"/>
  <c r="P221" i="6"/>
  <c r="P262" i="6"/>
  <c r="P358" i="6"/>
  <c r="R74" i="6"/>
  <c r="R82" i="6"/>
  <c r="R258" i="6"/>
  <c r="R266" i="6"/>
  <c r="P214" i="6"/>
  <c r="R58" i="6"/>
  <c r="I136" i="4" s="1"/>
  <c r="P58" i="6"/>
  <c r="R106" i="6"/>
  <c r="P106" i="6"/>
  <c r="R138" i="6"/>
  <c r="P254" i="6"/>
  <c r="R282" i="6"/>
  <c r="I248" i="4" s="1"/>
  <c r="R346" i="6"/>
  <c r="R370" i="6"/>
  <c r="I53" i="4"/>
  <c r="P102" i="6"/>
  <c r="R34" i="6"/>
  <c r="P373" i="6"/>
  <c r="R178" i="6"/>
  <c r="I3" i="4" s="1"/>
  <c r="P18" i="6"/>
  <c r="R18" i="6"/>
  <c r="P130" i="6"/>
  <c r="P270" i="6"/>
  <c r="I238" i="4"/>
  <c r="R290" i="6"/>
  <c r="I77" i="4" s="1"/>
  <c r="P290" i="6"/>
  <c r="R354" i="6"/>
  <c r="I242" i="4" s="1"/>
  <c r="R314" i="6"/>
  <c r="I6" i="4" s="1"/>
  <c r="R42" i="6"/>
  <c r="P354" i="6"/>
  <c r="P250" i="6"/>
  <c r="Q2" i="6"/>
  <c r="P222" i="6"/>
  <c r="R394" i="6"/>
  <c r="I179" i="4" s="1"/>
  <c r="P370" i="6"/>
  <c r="Q170" i="6"/>
  <c r="P110" i="6"/>
  <c r="R154" i="6"/>
  <c r="P242" i="6"/>
  <c r="Q258" i="6"/>
  <c r="P266" i="6"/>
  <c r="P74" i="6"/>
  <c r="P274" i="6"/>
  <c r="P282" i="6"/>
  <c r="P138" i="6"/>
  <c r="P178" i="6"/>
  <c r="R250" i="6"/>
  <c r="I75" i="4" s="1"/>
  <c r="Q50" i="6"/>
  <c r="R130" i="6"/>
  <c r="I57" i="4" s="1"/>
  <c r="P182" i="6"/>
  <c r="P194" i="6"/>
  <c r="P338" i="6"/>
  <c r="R162" i="6"/>
  <c r="P286" i="6"/>
  <c r="Q26" i="6"/>
  <c r="Q390" i="6"/>
  <c r="Q82" i="6"/>
  <c r="Q122" i="6"/>
  <c r="I101" i="4"/>
  <c r="Q342" i="6"/>
  <c r="R46" i="6"/>
  <c r="I173" i="4" s="1"/>
  <c r="R389" i="6"/>
  <c r="P234" i="6"/>
  <c r="P298" i="6"/>
  <c r="R50" i="6"/>
  <c r="R306" i="6"/>
  <c r="I91" i="4" s="1"/>
  <c r="P314" i="6"/>
  <c r="R202" i="6"/>
  <c r="I122" i="4" s="1"/>
  <c r="R122" i="6"/>
  <c r="I243" i="4" s="1"/>
  <c r="Q162" i="6"/>
  <c r="R253" i="6"/>
  <c r="R30" i="6"/>
  <c r="I2" i="4" s="1"/>
  <c r="R126" i="6"/>
  <c r="I163" i="4" s="1"/>
  <c r="R234" i="6"/>
  <c r="I23" i="4" s="1"/>
  <c r="P134" i="6"/>
  <c r="Q34" i="6"/>
  <c r="P146" i="6"/>
  <c r="R298" i="6"/>
  <c r="I99" i="4" s="1"/>
  <c r="R26" i="6"/>
  <c r="I138" i="4" s="1"/>
  <c r="Q174" i="6"/>
  <c r="R330" i="6"/>
  <c r="I189" i="4" s="1"/>
  <c r="P42" i="6"/>
  <c r="R338" i="6"/>
  <c r="I80" i="4" s="1"/>
  <c r="Q334" i="6"/>
  <c r="P126" i="6"/>
  <c r="R114" i="6"/>
  <c r="I102" i="4" s="1"/>
  <c r="P210" i="6"/>
  <c r="I228" i="4"/>
  <c r="P306" i="6"/>
  <c r="Q114" i="6"/>
  <c r="R322" i="6"/>
  <c r="Q46" i="6"/>
  <c r="P253" i="6"/>
  <c r="P362" i="6"/>
  <c r="Q202" i="6"/>
  <c r="R90" i="6"/>
  <c r="I170" i="4" s="1"/>
  <c r="P154" i="6"/>
  <c r="P386" i="6"/>
  <c r="Q90" i="6"/>
  <c r="P322" i="6"/>
  <c r="P394" i="6"/>
  <c r="Q213" i="6"/>
  <c r="R210" i="6"/>
  <c r="I114" i="4" s="1"/>
  <c r="P30" i="6"/>
  <c r="P330" i="6"/>
  <c r="R362" i="6"/>
  <c r="I19" i="4" s="1"/>
  <c r="R386" i="6"/>
  <c r="I44" i="4" s="1"/>
  <c r="Q389" i="6"/>
  <c r="R242" i="6"/>
  <c r="R146" i="6"/>
  <c r="I208" i="4"/>
  <c r="Q37" i="6"/>
  <c r="Q3" i="6"/>
  <c r="I195" i="4"/>
  <c r="I94" i="4"/>
  <c r="I187" i="4"/>
  <c r="Q4" i="6"/>
  <c r="I232" i="4"/>
  <c r="I181" i="4"/>
  <c r="I109" i="4"/>
  <c r="I202" i="4"/>
  <c r="I250" i="4"/>
  <c r="I145" i="4"/>
  <c r="I155" i="4"/>
  <c r="I247" i="4"/>
  <c r="I246" i="4"/>
  <c r="I132" i="4"/>
  <c r="I141" i="4"/>
  <c r="I207" i="4"/>
  <c r="I115" i="4"/>
  <c r="I237" i="4"/>
  <c r="I17" i="4"/>
  <c r="I82" i="4"/>
  <c r="I121" i="4"/>
  <c r="I111" i="4"/>
  <c r="I146" i="4"/>
  <c r="I235" i="4"/>
  <c r="I72" i="4"/>
  <c r="I106" i="4"/>
  <c r="I38" i="4"/>
  <c r="I233" i="4"/>
  <c r="I22" i="4"/>
  <c r="I88" i="4"/>
  <c r="I215" i="4"/>
  <c r="I169" i="4"/>
  <c r="I78" i="4"/>
  <c r="I103" i="4"/>
  <c r="I28" i="4"/>
  <c r="I225" i="4"/>
  <c r="I172" i="4"/>
  <c r="I209" i="4"/>
  <c r="I25" i="4"/>
  <c r="I112" i="4"/>
  <c r="I162" i="4"/>
  <c r="I20" i="4"/>
  <c r="I45" i="4"/>
  <c r="I151" i="4"/>
  <c r="I130" i="4"/>
  <c r="I65" i="4"/>
  <c r="I87" i="4"/>
  <c r="I83" i="4"/>
  <c r="P44" i="6"/>
  <c r="Q44" i="6"/>
  <c r="P381" i="6"/>
  <c r="Q381" i="6"/>
  <c r="P255" i="6"/>
  <c r="Q255" i="6"/>
  <c r="P36" i="6"/>
  <c r="Q36" i="6"/>
  <c r="P120" i="6"/>
  <c r="Q120" i="6"/>
  <c r="P140" i="6"/>
  <c r="Q140" i="6"/>
  <c r="P141" i="6"/>
  <c r="Q141" i="6"/>
  <c r="P324" i="6"/>
  <c r="Q324" i="6"/>
  <c r="I61" i="4" l="1"/>
  <c r="S161" i="6"/>
  <c r="S98" i="6"/>
  <c r="S132" i="6"/>
  <c r="S198" i="6"/>
  <c r="S372" i="6"/>
  <c r="S226" i="6"/>
  <c r="K226" i="6"/>
  <c r="S62" i="6"/>
  <c r="S220" i="6"/>
  <c r="S118" i="6"/>
  <c r="S271" i="6"/>
  <c r="K139" i="6"/>
  <c r="S139" i="6"/>
  <c r="S224" i="6"/>
  <c r="S273" i="6"/>
  <c r="K161" i="6"/>
  <c r="S23" i="6"/>
  <c r="S165" i="6"/>
  <c r="K54" i="6"/>
  <c r="S54" i="6"/>
  <c r="K101" i="6"/>
  <c r="S101" i="6"/>
  <c r="S352" i="6"/>
  <c r="S188" i="6"/>
  <c r="S320" i="6"/>
  <c r="K271" i="6"/>
  <c r="S186" i="6"/>
  <c r="S38" i="6"/>
  <c r="S325" i="6"/>
  <c r="S257" i="6"/>
  <c r="S113" i="6"/>
  <c r="S237" i="6"/>
  <c r="S327" i="6"/>
  <c r="S158" i="6"/>
  <c r="K132" i="6"/>
  <c r="K118" i="6"/>
  <c r="K158" i="6"/>
  <c r="K327" i="6"/>
  <c r="K88" i="6"/>
  <c r="S88" i="6"/>
  <c r="K27" i="6"/>
  <c r="S27" i="6"/>
  <c r="K345" i="6"/>
  <c r="S345" i="6"/>
  <c r="K218" i="6"/>
  <c r="S218" i="6"/>
  <c r="S391" i="6"/>
  <c r="S332" i="6"/>
  <c r="S232" i="6"/>
  <c r="S393" i="6"/>
  <c r="S157" i="6"/>
  <c r="K179" i="6"/>
  <c r="S179" i="6"/>
  <c r="K204" i="6"/>
  <c r="S204" i="6"/>
  <c r="K66" i="6"/>
  <c r="S66" i="6"/>
  <c r="K256" i="6"/>
  <c r="S256" i="6"/>
  <c r="K384" i="6"/>
  <c r="S384" i="6"/>
  <c r="K399" i="6"/>
  <c r="S399" i="6"/>
  <c r="K232" i="6"/>
  <c r="K188" i="6"/>
  <c r="K113" i="6"/>
  <c r="K157" i="6"/>
  <c r="K257" i="6"/>
  <c r="K224" i="6"/>
  <c r="K23" i="6"/>
  <c r="K62" i="6"/>
  <c r="K391" i="6"/>
  <c r="K165" i="6"/>
  <c r="K332" i="6"/>
  <c r="K378" i="6"/>
  <c r="M378" i="6" s="1"/>
  <c r="S378" i="6"/>
  <c r="K167" i="6"/>
  <c r="S167" i="6"/>
  <c r="K387" i="6"/>
  <c r="S387" i="6"/>
  <c r="K326" i="6"/>
  <c r="S326" i="6"/>
  <c r="K241" i="6"/>
  <c r="S241" i="6"/>
  <c r="K151" i="6"/>
  <c r="S151" i="6"/>
  <c r="S269" i="6"/>
  <c r="K208" i="6"/>
  <c r="S208" i="6"/>
  <c r="K301" i="6"/>
  <c r="S301" i="6"/>
  <c r="K59" i="6"/>
  <c r="S59" i="6"/>
  <c r="K341" i="6"/>
  <c r="S341" i="6"/>
  <c r="S333" i="6"/>
  <c r="K385" i="6"/>
  <c r="S385" i="6"/>
  <c r="K320" i="6"/>
  <c r="K333" i="6"/>
  <c r="K237" i="6"/>
  <c r="K393" i="6"/>
  <c r="K372" i="6"/>
  <c r="K98" i="6"/>
  <c r="K325" i="6"/>
  <c r="K186" i="6"/>
  <c r="K220" i="6"/>
  <c r="K198" i="6"/>
  <c r="K273" i="6"/>
  <c r="K352" i="6"/>
  <c r="K38" i="6"/>
  <c r="K269" i="6"/>
  <c r="K12" i="6"/>
  <c r="E20" i="8" l="1"/>
  <c r="E19" i="8"/>
  <c r="M393" i="6"/>
  <c r="Q393" i="6" s="1"/>
  <c r="R393" i="6"/>
  <c r="M352" i="6"/>
  <c r="P352" i="6" s="1"/>
  <c r="R352" i="6"/>
  <c r="M88" i="6"/>
  <c r="P88" i="6" s="1"/>
  <c r="R88" i="6"/>
  <c r="I240" i="4" s="1"/>
  <c r="M273" i="6"/>
  <c r="Q273" i="6" s="1"/>
  <c r="R273" i="6"/>
  <c r="I166" i="4" s="1"/>
  <c r="M167" i="6"/>
  <c r="Q167" i="6" s="1"/>
  <c r="R167" i="6"/>
  <c r="I241" i="4" s="1"/>
  <c r="M188" i="6"/>
  <c r="P188" i="6" s="1"/>
  <c r="R188" i="6"/>
  <c r="I105" i="4" s="1"/>
  <c r="M387" i="6"/>
  <c r="P387" i="6" s="1"/>
  <c r="R387" i="6"/>
  <c r="I198" i="4" s="1"/>
  <c r="M23" i="6"/>
  <c r="P23" i="6" s="1"/>
  <c r="R23" i="6"/>
  <c r="I236" i="4" s="1"/>
  <c r="M399" i="6"/>
  <c r="Q399" i="6" s="1"/>
  <c r="R399" i="6"/>
  <c r="I131" i="4" s="1"/>
  <c r="M204" i="6"/>
  <c r="P204" i="6" s="1"/>
  <c r="R204" i="6"/>
  <c r="I32" i="4" s="1"/>
  <c r="M226" i="6"/>
  <c r="Q226" i="6" s="1"/>
  <c r="R226" i="6"/>
  <c r="I62" i="4" s="1"/>
  <c r="M372" i="6"/>
  <c r="Q372" i="6" s="1"/>
  <c r="R372" i="6"/>
  <c r="I183" i="4" s="1"/>
  <c r="M161" i="6"/>
  <c r="Q161" i="6" s="1"/>
  <c r="R161" i="6"/>
  <c r="M224" i="6"/>
  <c r="Q224" i="6" s="1"/>
  <c r="R224" i="6"/>
  <c r="I164" i="4" s="1"/>
  <c r="M327" i="6"/>
  <c r="Q327" i="6" s="1"/>
  <c r="R327" i="6"/>
  <c r="I98" i="4" s="1"/>
  <c r="M198" i="6"/>
  <c r="P198" i="6" s="1"/>
  <c r="R198" i="6"/>
  <c r="I222" i="4" s="1"/>
  <c r="M59" i="6"/>
  <c r="Q59" i="6" s="1"/>
  <c r="R59" i="6"/>
  <c r="I68" i="4" s="1"/>
  <c r="M257" i="6"/>
  <c r="Q257" i="6" s="1"/>
  <c r="R257" i="6"/>
  <c r="I129" i="4" s="1"/>
  <c r="M384" i="6"/>
  <c r="Q384" i="6" s="1"/>
  <c r="R384" i="6"/>
  <c r="M179" i="6"/>
  <c r="Q179" i="6" s="1"/>
  <c r="R179" i="6"/>
  <c r="M218" i="6"/>
  <c r="Q218" i="6" s="1"/>
  <c r="R218" i="6"/>
  <c r="I152" i="4" s="1"/>
  <c r="M158" i="6"/>
  <c r="Q158" i="6" s="1"/>
  <c r="R158" i="6"/>
  <c r="I33" i="4" s="1"/>
  <c r="M101" i="6"/>
  <c r="P101" i="6" s="1"/>
  <c r="R101" i="6"/>
  <c r="I185" i="4" s="1"/>
  <c r="M237" i="6"/>
  <c r="Q237" i="6" s="1"/>
  <c r="R237" i="6"/>
  <c r="I84" i="4" s="1"/>
  <c r="M333" i="6"/>
  <c r="P333" i="6" s="1"/>
  <c r="R333" i="6"/>
  <c r="M220" i="6"/>
  <c r="P220" i="6" s="1"/>
  <c r="R220" i="6"/>
  <c r="I71" i="4" s="1"/>
  <c r="M320" i="6"/>
  <c r="P320" i="6" s="1"/>
  <c r="R320" i="6"/>
  <c r="I219" i="4" s="1"/>
  <c r="M241" i="6"/>
  <c r="P241" i="6" s="1"/>
  <c r="R241" i="6"/>
  <c r="M118" i="6"/>
  <c r="P118" i="6" s="1"/>
  <c r="R118" i="6"/>
  <c r="I193" i="4" s="1"/>
  <c r="M139" i="6"/>
  <c r="P139" i="6" s="1"/>
  <c r="R139" i="6"/>
  <c r="I34" i="4" s="1"/>
  <c r="M38" i="6"/>
  <c r="P38" i="6" s="1"/>
  <c r="R38" i="6"/>
  <c r="I128" i="4" s="1"/>
  <c r="M341" i="6"/>
  <c r="P341" i="6" s="1"/>
  <c r="R341" i="6"/>
  <c r="I110" i="4" s="1"/>
  <c r="M301" i="6"/>
  <c r="Q301" i="6" s="1"/>
  <c r="R301" i="6"/>
  <c r="I14" i="4" s="1"/>
  <c r="M332" i="6"/>
  <c r="P332" i="6" s="1"/>
  <c r="R332" i="6"/>
  <c r="I178" i="4" s="1"/>
  <c r="M113" i="6"/>
  <c r="Q113" i="6" s="1"/>
  <c r="R113" i="6"/>
  <c r="M256" i="6"/>
  <c r="Q256" i="6" s="1"/>
  <c r="R256" i="6"/>
  <c r="I168" i="4" s="1"/>
  <c r="M345" i="6"/>
  <c r="P345" i="6" s="1"/>
  <c r="R345" i="6"/>
  <c r="I8" i="4" s="1"/>
  <c r="M132" i="6"/>
  <c r="P132" i="6" s="1"/>
  <c r="R132" i="6"/>
  <c r="M54" i="6"/>
  <c r="P54" i="6" s="1"/>
  <c r="R54" i="6"/>
  <c r="I149" i="4" s="1"/>
  <c r="M62" i="6"/>
  <c r="P62" i="6" s="1"/>
  <c r="R62" i="6"/>
  <c r="I239" i="4" s="1"/>
  <c r="M151" i="6"/>
  <c r="Q151" i="6" s="1"/>
  <c r="R151" i="6"/>
  <c r="I119" i="4" s="1"/>
  <c r="M12" i="6"/>
  <c r="Q12" i="6" s="1"/>
  <c r="R12" i="6"/>
  <c r="I30" i="4" s="1"/>
  <c r="M325" i="6"/>
  <c r="P325" i="6" s="1"/>
  <c r="R325" i="6"/>
  <c r="M385" i="6"/>
  <c r="Q385" i="6" s="1"/>
  <c r="R385" i="6"/>
  <c r="I206" i="4" s="1"/>
  <c r="M326" i="6"/>
  <c r="P326" i="6" s="1"/>
  <c r="R326" i="6"/>
  <c r="I42" i="4" s="1"/>
  <c r="M165" i="6"/>
  <c r="P165" i="6" s="1"/>
  <c r="R165" i="6"/>
  <c r="I118" i="4" s="1"/>
  <c r="M271" i="6"/>
  <c r="Q271" i="6" s="1"/>
  <c r="R271" i="6"/>
  <c r="I27" i="4" s="1"/>
  <c r="M186" i="6"/>
  <c r="Q186" i="6" s="1"/>
  <c r="R186" i="6"/>
  <c r="I16" i="4" s="1"/>
  <c r="M269" i="6"/>
  <c r="P269" i="6" s="1"/>
  <c r="R269" i="6"/>
  <c r="I89" i="4" s="1"/>
  <c r="M98" i="6"/>
  <c r="P98" i="6" s="1"/>
  <c r="R98" i="6"/>
  <c r="I64" i="4" s="1"/>
  <c r="M208" i="6"/>
  <c r="Q208" i="6" s="1"/>
  <c r="R208" i="6"/>
  <c r="I167" i="4" s="1"/>
  <c r="M391" i="6"/>
  <c r="Q391" i="6" s="1"/>
  <c r="R391" i="6"/>
  <c r="I211" i="4" s="1"/>
  <c r="M232" i="6"/>
  <c r="Q232" i="6" s="1"/>
  <c r="R232" i="6"/>
  <c r="I192" i="4" s="1"/>
  <c r="M66" i="6"/>
  <c r="Q66" i="6" s="1"/>
  <c r="R66" i="6"/>
  <c r="I159" i="4" s="1"/>
  <c r="M27" i="6"/>
  <c r="Q27" i="6" s="1"/>
  <c r="R27" i="6"/>
  <c r="I67" i="4" s="1"/>
  <c r="M157" i="6"/>
  <c r="Q157" i="6" s="1"/>
  <c r="R157" i="6"/>
  <c r="P59" i="6"/>
  <c r="P12" i="6"/>
  <c r="Q378" i="6"/>
  <c r="P378" i="6"/>
  <c r="Q333" i="6" l="1"/>
  <c r="Q352" i="6"/>
  <c r="P66" i="6"/>
  <c r="Q132" i="6"/>
  <c r="P399" i="6"/>
  <c r="P161" i="6"/>
  <c r="Q165" i="6"/>
  <c r="P224" i="6"/>
  <c r="Q139" i="6"/>
  <c r="P158" i="6"/>
  <c r="Q204" i="6"/>
  <c r="Q188" i="6"/>
  <c r="P327" i="6"/>
  <c r="Q332" i="6"/>
  <c r="P151" i="6"/>
  <c r="P257" i="6"/>
  <c r="Q269" i="6"/>
  <c r="P226" i="6"/>
  <c r="Q387" i="6"/>
  <c r="Q88" i="6"/>
  <c r="P393" i="6"/>
  <c r="P218" i="6"/>
  <c r="P167" i="6"/>
  <c r="Q118" i="6"/>
  <c r="P384" i="6"/>
  <c r="Q54" i="6"/>
  <c r="Q38" i="6"/>
  <c r="P372" i="6"/>
  <c r="P208" i="6"/>
  <c r="Q98" i="6"/>
  <c r="Q101" i="6"/>
  <c r="Q341" i="6"/>
  <c r="P273" i="6"/>
  <c r="Q23" i="6"/>
  <c r="P237" i="6"/>
  <c r="Q198" i="6"/>
  <c r="P179" i="6"/>
  <c r="P385" i="6"/>
  <c r="P27" i="6"/>
  <c r="Q320" i="6"/>
  <c r="P113" i="6"/>
  <c r="P391" i="6"/>
  <c r="P271" i="6"/>
  <c r="Q325" i="6"/>
  <c r="Q62" i="6"/>
  <c r="Q241" i="6"/>
  <c r="P186" i="6"/>
  <c r="P256" i="6"/>
  <c r="I244" i="4"/>
  <c r="P232" i="6"/>
  <c r="Q220" i="6"/>
  <c r="P301" i="6"/>
  <c r="Q326" i="6"/>
  <c r="Q345" i="6"/>
  <c r="P157" i="6"/>
  <c r="I48" i="4"/>
  <c r="I15" i="4"/>
  <c r="E7" i="8"/>
  <c r="E8" i="8"/>
  <c r="H4" i="10" l="1"/>
  <c r="C5" i="10"/>
  <c r="C3" i="10"/>
  <c r="E12" i="8"/>
  <c r="E16" i="8"/>
  <c r="E3" i="8"/>
  <c r="E4" i="8"/>
  <c r="E14" i="8"/>
  <c r="T2" i="15" s="1"/>
  <c r="E15" i="8"/>
  <c r="E22" i="8"/>
  <c r="E21" i="8"/>
  <c r="E11" i="8" l="1"/>
  <c r="L2" i="15" s="1"/>
  <c r="D2" i="15"/>
  <c r="C7" i="10"/>
  <c r="C4" i="10"/>
  <c r="E5" i="8"/>
  <c r="H2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E13" authorId="0" shapeId="0" xr:uid="{F3D45CEF-2EF3-48EC-B245-F7BAAC2CA43E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asume que el patrimonio de la CMAC es de seis millones de soles.</t>
        </r>
      </text>
    </comment>
    <comment ref="E16" authorId="0" shapeId="0" xr:uid="{951A06D8-E2D3-443B-8D19-F818CB76874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asume que el patrimonio de la CMAC es de 6 millones de soles.
</t>
        </r>
      </text>
    </comment>
  </commentList>
</comments>
</file>

<file path=xl/sharedStrings.xml><?xml version="1.0" encoding="utf-8"?>
<sst xmlns="http://schemas.openxmlformats.org/spreadsheetml/2006/main" count="4812" uniqueCount="1884">
  <si>
    <t>AgenciaID</t>
  </si>
  <si>
    <t>Nombre</t>
  </si>
  <si>
    <t>Ciudad</t>
  </si>
  <si>
    <t>AG01</t>
  </si>
  <si>
    <t>Lima Centro</t>
  </si>
  <si>
    <t>Lima</t>
  </si>
  <si>
    <t>AG02</t>
  </si>
  <si>
    <t>San Juan de Lurigancho</t>
  </si>
  <si>
    <t>AG03</t>
  </si>
  <si>
    <t>Arequipa Cercado</t>
  </si>
  <si>
    <t>Arequipa</t>
  </si>
  <si>
    <t>AG04</t>
  </si>
  <si>
    <t>Trujillo</t>
  </si>
  <si>
    <t>La Libertad</t>
  </si>
  <si>
    <t>AG05</t>
  </si>
  <si>
    <t>Chiclayo</t>
  </si>
  <si>
    <t>Lambayeque</t>
  </si>
  <si>
    <t>AG06</t>
  </si>
  <si>
    <t>Cusco</t>
  </si>
  <si>
    <t>AG07</t>
  </si>
  <si>
    <t>Piura</t>
  </si>
  <si>
    <t>AG08</t>
  </si>
  <si>
    <t>Huancayo</t>
  </si>
  <si>
    <t>Junín</t>
  </si>
  <si>
    <t>TipoCreditoID</t>
  </si>
  <si>
    <t>TEA_Min</t>
  </si>
  <si>
    <t>TEA_Max</t>
  </si>
  <si>
    <t>PlazoMinMeses</t>
  </si>
  <si>
    <t>PlazoMaxMeses</t>
  </si>
  <si>
    <t>MontoMin</t>
  </si>
  <si>
    <t>MontoMax</t>
  </si>
  <si>
    <t>TC01</t>
  </si>
  <si>
    <t>Crédito de Consumo</t>
  </si>
  <si>
    <t>TC02</t>
  </si>
  <si>
    <t>Crédito Microempresa</t>
  </si>
  <si>
    <t>TC03</t>
  </si>
  <si>
    <t>Crédito Pyme</t>
  </si>
  <si>
    <t>TC04</t>
  </si>
  <si>
    <t>Crédito Hipotecario</t>
  </si>
  <si>
    <t>TC05</t>
  </si>
  <si>
    <t>Crédito Agropecuario</t>
  </si>
  <si>
    <t>TipoDepositoID</t>
  </si>
  <si>
    <t>TasaPasivaMin</t>
  </si>
  <si>
    <t>TasaPasivaMax</t>
  </si>
  <si>
    <t>PlazoMeses</t>
  </si>
  <si>
    <t>TD01</t>
  </si>
  <si>
    <t>TD02</t>
  </si>
  <si>
    <t>Depósito a Plazo Fijo 90 días</t>
  </si>
  <si>
    <t>TD03</t>
  </si>
  <si>
    <t>Depósito a Plazo Fijo 180 días</t>
  </si>
  <si>
    <t>TD04</t>
  </si>
  <si>
    <t>Depósito a Plazo Fijo 360 días</t>
  </si>
  <si>
    <t>TD05</t>
  </si>
  <si>
    <t>CTS</t>
  </si>
  <si>
    <t>ClienteID</t>
  </si>
  <si>
    <t>DNI</t>
  </si>
  <si>
    <t>Correo</t>
  </si>
  <si>
    <t>Distrito</t>
  </si>
  <si>
    <t>TipoCliente</t>
  </si>
  <si>
    <t>FechaRegistro</t>
  </si>
  <si>
    <t>CL0001</t>
  </si>
  <si>
    <t>22633920</t>
  </si>
  <si>
    <t>mariana.vargas@outlook.com</t>
  </si>
  <si>
    <t>Piura Centro</t>
  </si>
  <si>
    <t>Persona Natural</t>
  </si>
  <si>
    <t>CL0002</t>
  </si>
  <si>
    <t>22175294</t>
  </si>
  <si>
    <t>gabriel.martinez@yahoo.com</t>
  </si>
  <si>
    <t>José Leonardo Ortiz</t>
  </si>
  <si>
    <t>CL0003</t>
  </si>
  <si>
    <t>39673100</t>
  </si>
  <si>
    <t>nicolas.chavez@gmail.com</t>
  </si>
  <si>
    <t>Los Olivos</t>
  </si>
  <si>
    <t>CL0004</t>
  </si>
  <si>
    <t>34256684</t>
  </si>
  <si>
    <t>carolina.vargas@gmail.com</t>
  </si>
  <si>
    <t>CL0005</t>
  </si>
  <si>
    <t>76627625</t>
  </si>
  <si>
    <t>sofia.ponce@yahoo.com</t>
  </si>
  <si>
    <t>Cusco Centro</t>
  </si>
  <si>
    <t>CL0006</t>
  </si>
  <si>
    <t>42762079</t>
  </si>
  <si>
    <t>katherine.vega@gmail.com</t>
  </si>
  <si>
    <t>La Esperanza</t>
  </si>
  <si>
    <t>Microempresa</t>
  </si>
  <si>
    <t>CL0007</t>
  </si>
  <si>
    <t>66119495</t>
  </si>
  <si>
    <t>estefania.herrera@hotmail.com</t>
  </si>
  <si>
    <t>Trujillo Centro</t>
  </si>
  <si>
    <t>CL0008</t>
  </si>
  <si>
    <t>52110478</t>
  </si>
  <si>
    <t>estefania.paredes@outlook.com</t>
  </si>
  <si>
    <t>CL0009</t>
  </si>
  <si>
    <t>73632401</t>
  </si>
  <si>
    <t>estefania.campos@gmail.com</t>
  </si>
  <si>
    <t>San Isidro</t>
  </si>
  <si>
    <t>CL0010</t>
  </si>
  <si>
    <t>56574257</t>
  </si>
  <si>
    <t>alonso.bravo@gmail.com</t>
  </si>
  <si>
    <t>Víctor Larco</t>
  </si>
  <si>
    <t>CL0011</t>
  </si>
  <si>
    <t>48578460</t>
  </si>
  <si>
    <t>luciana.condori@hotmail.com</t>
  </si>
  <si>
    <t>Chiclayo Centro</t>
  </si>
  <si>
    <t>CL0012</t>
  </si>
  <si>
    <t>47290936</t>
  </si>
  <si>
    <t>bruno.cabrera@hotmail.com</t>
  </si>
  <si>
    <t>Paucarpata</t>
  </si>
  <si>
    <t>CL0013</t>
  </si>
  <si>
    <t>30256261</t>
  </si>
  <si>
    <t>rodrigo.paredes@gmail.com</t>
  </si>
  <si>
    <t>Castilla</t>
  </si>
  <si>
    <t>CL0014</t>
  </si>
  <si>
    <t>47840101</t>
  </si>
  <si>
    <t>fernanda.chavez@gmail.com</t>
  </si>
  <si>
    <t>La Victoria</t>
  </si>
  <si>
    <t>CL0015</t>
  </si>
  <si>
    <t>79188088</t>
  </si>
  <si>
    <t>cristian.espinoza@gmail.com</t>
  </si>
  <si>
    <t>San Sebastián</t>
  </si>
  <si>
    <t>CL0016</t>
  </si>
  <si>
    <t>74628898</t>
  </si>
  <si>
    <t>adriana.ponce@yahoo.com</t>
  </si>
  <si>
    <t>CL0017</t>
  </si>
  <si>
    <t>17056578</t>
  </si>
  <si>
    <t>isabella.ramos@gmail.com</t>
  </si>
  <si>
    <t>Cercado</t>
  </si>
  <si>
    <t>CL0018</t>
  </si>
  <si>
    <t>37910936</t>
  </si>
  <si>
    <t>joaquin.zevallos@yahoo.com</t>
  </si>
  <si>
    <t>CL0019</t>
  </si>
  <si>
    <t>75507385</t>
  </si>
  <si>
    <t>ximena.salazar@yahoo.com</t>
  </si>
  <si>
    <t>CL0020</t>
  </si>
  <si>
    <t>74239549</t>
  </si>
  <si>
    <t>alonso.perez@hotmail.com</t>
  </si>
  <si>
    <t>Comas</t>
  </si>
  <si>
    <t>CL0021</t>
  </si>
  <si>
    <t>50008920</t>
  </si>
  <si>
    <t>milagros.espinoza@gmail.com</t>
  </si>
  <si>
    <t>Veintiséis de Octubre</t>
  </si>
  <si>
    <t>CL0022</t>
  </si>
  <si>
    <t>77470852</t>
  </si>
  <si>
    <t>ignacio.flores@outlook.com</t>
  </si>
  <si>
    <t>Huancayo Centro</t>
  </si>
  <si>
    <t>CL0023</t>
  </si>
  <si>
    <t>40432459</t>
  </si>
  <si>
    <t>adriana.castillo@hotmail.com</t>
  </si>
  <si>
    <t>El Tambo</t>
  </si>
  <si>
    <t>CL0024</t>
  </si>
  <si>
    <t>35990584</t>
  </si>
  <si>
    <t>enrique.rodriguez@outlook.com</t>
  </si>
  <si>
    <t>CL0025</t>
  </si>
  <si>
    <t>55330357</t>
  </si>
  <si>
    <t>ignacio.perez@hotmail.com</t>
  </si>
  <si>
    <t>La Molina</t>
  </si>
  <si>
    <t>CL0026</t>
  </si>
  <si>
    <t>21378775</t>
  </si>
  <si>
    <t>patricia.condori@gmail.com</t>
  </si>
  <si>
    <t>CL0027</t>
  </si>
  <si>
    <t>63128543</t>
  </si>
  <si>
    <t>alessandra.rojas@yahoo.com</t>
  </si>
  <si>
    <t>Chilca</t>
  </si>
  <si>
    <t>CL0028</t>
  </si>
  <si>
    <t>72458740</t>
  </si>
  <si>
    <t>enrique.flores@hotmail.com</t>
  </si>
  <si>
    <t>CL0029</t>
  </si>
  <si>
    <t>23793831</t>
  </si>
  <si>
    <t>paula.vargas@hotmail.com</t>
  </si>
  <si>
    <t>Wanchaq</t>
  </si>
  <si>
    <t>CL0030</t>
  </si>
  <si>
    <t>42284650</t>
  </si>
  <si>
    <t>franco.ramos@outlook.com</t>
  </si>
  <si>
    <t>CL0031</t>
  </si>
  <si>
    <t>79358465</t>
  </si>
  <si>
    <t>carolina.torres@yahoo.com</t>
  </si>
  <si>
    <t>CL0032</t>
  </si>
  <si>
    <t>10527808</t>
  </si>
  <si>
    <t>joaquin.carrasco@hotmail.com</t>
  </si>
  <si>
    <t>Ate</t>
  </si>
  <si>
    <t>CL0033</t>
  </si>
  <si>
    <t>79571586</t>
  </si>
  <si>
    <t>alessandra.condori@yahoo.com</t>
  </si>
  <si>
    <t>CL0034</t>
  </si>
  <si>
    <t>78144218</t>
  </si>
  <si>
    <t>sebastian.mendoza@yahoo.com</t>
  </si>
  <si>
    <t>CL0035</t>
  </si>
  <si>
    <t>70712824</t>
  </si>
  <si>
    <t>julia.cruz@yahoo.com</t>
  </si>
  <si>
    <t>CL0036</t>
  </si>
  <si>
    <t>26323822</t>
  </si>
  <si>
    <t>milagros.reyes@yahoo.com</t>
  </si>
  <si>
    <t>CL0037</t>
  </si>
  <si>
    <t>26421523</t>
  </si>
  <si>
    <t>isabella.mendoza@hotmail.com</t>
  </si>
  <si>
    <t>CL0038</t>
  </si>
  <si>
    <t>75399034</t>
  </si>
  <si>
    <t>ximena.torres@hotmail.com</t>
  </si>
  <si>
    <t>CL0039</t>
  </si>
  <si>
    <t>57864027</t>
  </si>
  <si>
    <t>karla.guerrero@outlook.com</t>
  </si>
  <si>
    <t>CL0040</t>
  </si>
  <si>
    <t>61585853</t>
  </si>
  <si>
    <t>mateo.herrera@outlook.com</t>
  </si>
  <si>
    <t>CL0041</t>
  </si>
  <si>
    <t>15313436</t>
  </si>
  <si>
    <t>isabella.diaz@hotmail.com</t>
  </si>
  <si>
    <t>CL0042</t>
  </si>
  <si>
    <t>79092953</t>
  </si>
  <si>
    <t>franco.guerrero@yahoo.com</t>
  </si>
  <si>
    <t>CL0043</t>
  </si>
  <si>
    <t>12259115</t>
  </si>
  <si>
    <t>rodrigo.lopez@gmail.com</t>
  </si>
  <si>
    <t>CL0044</t>
  </si>
  <si>
    <t>55520180</t>
  </si>
  <si>
    <t>piero.chavez@yahoo.com</t>
  </si>
  <si>
    <t>CL0045</t>
  </si>
  <si>
    <t>31669330</t>
  </si>
  <si>
    <t>renata.martinez@outlook.com</t>
  </si>
  <si>
    <t>CL0046</t>
  </si>
  <si>
    <t>77120755</t>
  </si>
  <si>
    <t>antonella.mamani@hotmail.com</t>
  </si>
  <si>
    <t>CL0047</t>
  </si>
  <si>
    <t>77867728</t>
  </si>
  <si>
    <t>adriana.rodriguez@hotmail.com</t>
  </si>
  <si>
    <t>Miraflores</t>
  </si>
  <si>
    <t>CL0048</t>
  </si>
  <si>
    <t>62759119</t>
  </si>
  <si>
    <t>julia.gomez@outlook.com</t>
  </si>
  <si>
    <t>CL0049</t>
  </si>
  <si>
    <t>27423955</t>
  </si>
  <si>
    <t>emilio.castillo@gmail.com</t>
  </si>
  <si>
    <t>CL0050</t>
  </si>
  <si>
    <t>61121087</t>
  </si>
  <si>
    <t>pamela.reyes@outlook.com</t>
  </si>
  <si>
    <t>CL0051</t>
  </si>
  <si>
    <t>10486232</t>
  </si>
  <si>
    <t>daniela.martinez@outlook.com</t>
  </si>
  <si>
    <t>Cayma</t>
  </si>
  <si>
    <t>CL0052</t>
  </si>
  <si>
    <t>34556192</t>
  </si>
  <si>
    <t>gianella.cruz@gmail.com</t>
  </si>
  <si>
    <t>CL0053</t>
  </si>
  <si>
    <t>10664449</t>
  </si>
  <si>
    <t>diego.medina@gmail.com</t>
  </si>
  <si>
    <t>CL0054</t>
  </si>
  <si>
    <t>50835013</t>
  </si>
  <si>
    <t>joaquin.rios@hotmail.com</t>
  </si>
  <si>
    <t>CL0055</t>
  </si>
  <si>
    <t>76329160</t>
  </si>
  <si>
    <t>milagros.vargas@hotmail.com</t>
  </si>
  <si>
    <t>CL0056</t>
  </si>
  <si>
    <t>67612248</t>
  </si>
  <si>
    <t>melissa.vargas@hotmail.com</t>
  </si>
  <si>
    <t>CL0057</t>
  </si>
  <si>
    <t>58413337</t>
  </si>
  <si>
    <t>katherine.chavez@gmail.com</t>
  </si>
  <si>
    <t>CL0058</t>
  </si>
  <si>
    <t>75671971</t>
  </si>
  <si>
    <t>gianella.lopez@outlook.com</t>
  </si>
  <si>
    <t>CL0059</t>
  </si>
  <si>
    <t>18865128</t>
  </si>
  <si>
    <t>adriana.sanchez@yahoo.com</t>
  </si>
  <si>
    <t>CL0060</t>
  </si>
  <si>
    <t>71785797</t>
  </si>
  <si>
    <t>hugo.reyes@yahoo.com</t>
  </si>
  <si>
    <t>CL0061</t>
  </si>
  <si>
    <t>29787058</t>
  </si>
  <si>
    <t>alessandra.huaman@outlook.com</t>
  </si>
  <si>
    <t>CL0062</t>
  </si>
  <si>
    <t>18141783</t>
  </si>
  <si>
    <t>pamela.mamani@yahoo.com</t>
  </si>
  <si>
    <t>CL0063</t>
  </si>
  <si>
    <t>72590981</t>
  </si>
  <si>
    <t>sofia.ramos@gmail.com</t>
  </si>
  <si>
    <t>El Porvenir</t>
  </si>
  <si>
    <t>CL0064</t>
  </si>
  <si>
    <t>77997185</t>
  </si>
  <si>
    <t>diego.medina@yahoo.com</t>
  </si>
  <si>
    <t>CL0065</t>
  </si>
  <si>
    <t>45139404</t>
  </si>
  <si>
    <t>gabriel.ramos@outlook.com</t>
  </si>
  <si>
    <t>CL0066</t>
  </si>
  <si>
    <t>75248694</t>
  </si>
  <si>
    <t>franco.nunez@yahoo.com</t>
  </si>
  <si>
    <t>CL0067</t>
  </si>
  <si>
    <t>65858894</t>
  </si>
  <si>
    <t>valentina.cabrera@outlook.com</t>
  </si>
  <si>
    <t>CL0068</t>
  </si>
  <si>
    <t>26111676</t>
  </si>
  <si>
    <t>nicolas.herrera@hotmail.com</t>
  </si>
  <si>
    <t>CL0069</t>
  </si>
  <si>
    <t>20254327</t>
  </si>
  <si>
    <t>ximena.espinoza@outlook.com</t>
  </si>
  <si>
    <t>CL0070</t>
  </si>
  <si>
    <t>48335695</t>
  </si>
  <si>
    <t>hugo.lopez@hotmail.com</t>
  </si>
  <si>
    <t>CL0071</t>
  </si>
  <si>
    <t>67411315</t>
  </si>
  <si>
    <t>martin.nunez@gmail.com</t>
  </si>
  <si>
    <t>Yanahuara</t>
  </si>
  <si>
    <t>CL0072</t>
  </si>
  <si>
    <t>28598890</t>
  </si>
  <si>
    <t>gianella.ramos@outlook.com</t>
  </si>
  <si>
    <t>CL0073</t>
  </si>
  <si>
    <t>47815313</t>
  </si>
  <si>
    <t>cesar.ponce@outlook.com</t>
  </si>
  <si>
    <t>CL0074</t>
  </si>
  <si>
    <t>62931147</t>
  </si>
  <si>
    <t>ximena.rios@gmail.com</t>
  </si>
  <si>
    <t>CL0075</t>
  </si>
  <si>
    <t>70798761</t>
  </si>
  <si>
    <t>luciana.sanchez@outlook.com</t>
  </si>
  <si>
    <t>Santiago</t>
  </si>
  <si>
    <t>CL0076</t>
  </si>
  <si>
    <t>22226475</t>
  </si>
  <si>
    <t>renata.ponce@outlook.com</t>
  </si>
  <si>
    <t>CL0077</t>
  </si>
  <si>
    <t>38186385</t>
  </si>
  <si>
    <t>ximena.bravo@yahoo.com</t>
  </si>
  <si>
    <t>CL0078</t>
  </si>
  <si>
    <t>77564633</t>
  </si>
  <si>
    <t>victor.lopez@hotmail.com</t>
  </si>
  <si>
    <t>CL0079</t>
  </si>
  <si>
    <t>51878080</t>
  </si>
  <si>
    <t>patricia.mendoza@gmail.com</t>
  </si>
  <si>
    <t>CL0080</t>
  </si>
  <si>
    <t>72834219</t>
  </si>
  <si>
    <t>martin.medina@yahoo.com</t>
  </si>
  <si>
    <t>CL0081</t>
  </si>
  <si>
    <t>71381128</t>
  </si>
  <si>
    <t>fernanda.vargas@gmail.com</t>
  </si>
  <si>
    <t>CL0082</t>
  </si>
  <si>
    <t>50772964</t>
  </si>
  <si>
    <t>marco.torres@hotmail.com</t>
  </si>
  <si>
    <t>CL0083</t>
  </si>
  <si>
    <t>35729775</t>
  </si>
  <si>
    <t>jorge.guerrero@yahoo.com</t>
  </si>
  <si>
    <t>CL0084</t>
  </si>
  <si>
    <t>47393548</t>
  </si>
  <si>
    <t>marco.fuentes@outlook.com</t>
  </si>
  <si>
    <t>CL0085</t>
  </si>
  <si>
    <t>51258238</t>
  </si>
  <si>
    <t>milagros.mendoza@gmail.com</t>
  </si>
  <si>
    <t>CL0086</t>
  </si>
  <si>
    <t>59689823</t>
  </si>
  <si>
    <t>estefania.paredes@hotmail.com</t>
  </si>
  <si>
    <t>CL0087</t>
  </si>
  <si>
    <t>49206502</t>
  </si>
  <si>
    <t>ivan.herrera@gmail.com</t>
  </si>
  <si>
    <t>CL0088</t>
  </si>
  <si>
    <t>49585217</t>
  </si>
  <si>
    <t>antonella.mamani@gmail.com</t>
  </si>
  <si>
    <t>CL0089</t>
  </si>
  <si>
    <t>29647200</t>
  </si>
  <si>
    <t>fabrizio.chavez@yahoo.com</t>
  </si>
  <si>
    <t>CL0090</t>
  </si>
  <si>
    <t>34710131</t>
  </si>
  <si>
    <t>mateo.fuentes@yahoo.com</t>
  </si>
  <si>
    <t>CL0091</t>
  </si>
  <si>
    <t>72762334</t>
  </si>
  <si>
    <t>enrique.diaz@gmail.com</t>
  </si>
  <si>
    <t>CL0092</t>
  </si>
  <si>
    <t>10385302</t>
  </si>
  <si>
    <t>enrique.aguilar@gmail.com</t>
  </si>
  <si>
    <t>CL0093</t>
  </si>
  <si>
    <t>51432906</t>
  </si>
  <si>
    <t>paula.paredes@yahoo.com</t>
  </si>
  <si>
    <t>CL0094</t>
  </si>
  <si>
    <t>58888654</t>
  </si>
  <si>
    <t>karla.medina@yahoo.com</t>
  </si>
  <si>
    <t>CL0095</t>
  </si>
  <si>
    <t>18399337</t>
  </si>
  <si>
    <t>carolina.mendoza@gmail.com</t>
  </si>
  <si>
    <t>CL0096</t>
  </si>
  <si>
    <t>15849955</t>
  </si>
  <si>
    <t>pamela.sanchez@outlook.com</t>
  </si>
  <si>
    <t>CL0097</t>
  </si>
  <si>
    <t>18768726</t>
  </si>
  <si>
    <t>alonso.garcia@gmail.com</t>
  </si>
  <si>
    <t>CL0098</t>
  </si>
  <si>
    <t>76232938</t>
  </si>
  <si>
    <t>alessandra.vega@hotmail.com</t>
  </si>
  <si>
    <t>CL0099</t>
  </si>
  <si>
    <t>52889111</t>
  </si>
  <si>
    <t>valentina.mamani@yahoo.com</t>
  </si>
  <si>
    <t>CL0100</t>
  </si>
  <si>
    <t>18688319</t>
  </si>
  <si>
    <t>diego.nunez@gmail.com</t>
  </si>
  <si>
    <t>CL0101</t>
  </si>
  <si>
    <t>45553110</t>
  </si>
  <si>
    <t>cristian.cruz@gmail.com</t>
  </si>
  <si>
    <t>CL0102</t>
  </si>
  <si>
    <t>71864140</t>
  </si>
  <si>
    <t>carolina.cabrera@hotmail.com</t>
  </si>
  <si>
    <t>CL0103</t>
  </si>
  <si>
    <t>44941579</t>
  </si>
  <si>
    <t>daniela.quispe@hotmail.com</t>
  </si>
  <si>
    <t>CL0104</t>
  </si>
  <si>
    <t>35266505</t>
  </si>
  <si>
    <t>fabrizio.mendoza@outlook.com</t>
  </si>
  <si>
    <t>CL0105</t>
  </si>
  <si>
    <t>23494578</t>
  </si>
  <si>
    <t>ximena.mendoza@yahoo.com</t>
  </si>
  <si>
    <t>CL0106</t>
  </si>
  <si>
    <t>15417277</t>
  </si>
  <si>
    <t>valentina.medina@outlook.com</t>
  </si>
  <si>
    <t>CL0107</t>
  </si>
  <si>
    <t>20081977</t>
  </si>
  <si>
    <t>sebastian.castillo@outlook.com</t>
  </si>
  <si>
    <t>CL0108</t>
  </si>
  <si>
    <t>59487224</t>
  </si>
  <si>
    <t>piero.reyes@outlook.com</t>
  </si>
  <si>
    <t>CL0109</t>
  </si>
  <si>
    <t>53922648</t>
  </si>
  <si>
    <t>gabriel.reyes@yahoo.com</t>
  </si>
  <si>
    <t>CL0110</t>
  </si>
  <si>
    <t>74895215</t>
  </si>
  <si>
    <t>rosa.mamani@gmail.com</t>
  </si>
  <si>
    <t>CL0111</t>
  </si>
  <si>
    <t>31970008</t>
  </si>
  <si>
    <t>marco.rios@yahoo.com</t>
  </si>
  <si>
    <t>Cerro Colorado</t>
  </si>
  <si>
    <t>CL0112</t>
  </si>
  <si>
    <t>57940118</t>
  </si>
  <si>
    <t>daniela.mamani@yahoo.com</t>
  </si>
  <si>
    <t>CL0113</t>
  </si>
  <si>
    <t>10788743</t>
  </si>
  <si>
    <t>silvia.espinoza@yahoo.com</t>
  </si>
  <si>
    <t>CL0114</t>
  </si>
  <si>
    <t>31816364</t>
  </si>
  <si>
    <t>nicolas.perez@hotmail.com</t>
  </si>
  <si>
    <t>CL0115</t>
  </si>
  <si>
    <t>33043259</t>
  </si>
  <si>
    <t>gianella.vargas@hotmail.com</t>
  </si>
  <si>
    <t>CL0116</t>
  </si>
  <si>
    <t>36486755</t>
  </si>
  <si>
    <t>luciana.carrasco@outlook.com</t>
  </si>
  <si>
    <t>CL0117</t>
  </si>
  <si>
    <t>31511900</t>
  </si>
  <si>
    <t>cesar.medina@hotmail.com</t>
  </si>
  <si>
    <t>CL0118</t>
  </si>
  <si>
    <t>63652943</t>
  </si>
  <si>
    <t>hugo.castillo@hotmail.com</t>
  </si>
  <si>
    <t>CL0119</t>
  </si>
  <si>
    <t>15117547</t>
  </si>
  <si>
    <t>nicolas.vargas@outlook.com</t>
  </si>
  <si>
    <t>CL0120</t>
  </si>
  <si>
    <t>66381091</t>
  </si>
  <si>
    <t>piero.vega@outlook.com</t>
  </si>
  <si>
    <t>CL0121</t>
  </si>
  <si>
    <t>10470848</t>
  </si>
  <si>
    <t>andrea.espinoza@yahoo.com</t>
  </si>
  <si>
    <t>CL0122</t>
  </si>
  <si>
    <t>63733040</t>
  </si>
  <si>
    <t>julia.condori@gmail.com</t>
  </si>
  <si>
    <t>CL0123</t>
  </si>
  <si>
    <t>15471626</t>
  </si>
  <si>
    <t>paula.guerrero@gmail.com</t>
  </si>
  <si>
    <t>CL0124</t>
  </si>
  <si>
    <t>60715863</t>
  </si>
  <si>
    <t>enrique.cruz@hotmail.com</t>
  </si>
  <si>
    <t>CL0125</t>
  </si>
  <si>
    <t>32160892</t>
  </si>
  <si>
    <t>rosa.diaz@hotmail.com</t>
  </si>
  <si>
    <t>CL0126</t>
  </si>
  <si>
    <t>71257352</t>
  </si>
  <si>
    <t>rosa.reyes@hotmail.com</t>
  </si>
  <si>
    <t>CL0127</t>
  </si>
  <si>
    <t>41863178</t>
  </si>
  <si>
    <t>cesar.medina@outlook.com</t>
  </si>
  <si>
    <t>CL0128</t>
  </si>
  <si>
    <t>60578720</t>
  </si>
  <si>
    <t>antonella.rojas@hotmail.com</t>
  </si>
  <si>
    <t>CL0129</t>
  </si>
  <si>
    <t>70805810</t>
  </si>
  <si>
    <t>lucia.carrasco@gmail.com</t>
  </si>
  <si>
    <t>CL0130</t>
  </si>
  <si>
    <t>29622020</t>
  </si>
  <si>
    <t>jorge.rios@outlook.com</t>
  </si>
  <si>
    <t>CL0131</t>
  </si>
  <si>
    <t>79270678</t>
  </si>
  <si>
    <t>julia.chavez@outlook.com</t>
  </si>
  <si>
    <t>CL0132</t>
  </si>
  <si>
    <t>39747683</t>
  </si>
  <si>
    <t>silvia.campos@hotmail.com</t>
  </si>
  <si>
    <t>CL0133</t>
  </si>
  <si>
    <t>27719866</t>
  </si>
  <si>
    <t>jorge.guerrero2@hotmail.com</t>
  </si>
  <si>
    <t>CL0134</t>
  </si>
  <si>
    <t>57936069</t>
  </si>
  <si>
    <t>sebastian.garcia@hotmail.com</t>
  </si>
  <si>
    <t>CL0135</t>
  </si>
  <si>
    <t>73740242</t>
  </si>
  <si>
    <t>alonso.campos@hotmail.com</t>
  </si>
  <si>
    <t>CL0136</t>
  </si>
  <si>
    <t>29420181</t>
  </si>
  <si>
    <t>adriana.mendoza@outlook.com</t>
  </si>
  <si>
    <t>CL0137</t>
  </si>
  <si>
    <t>79468746</t>
  </si>
  <si>
    <t>valentina.lopez@yahoo.com</t>
  </si>
  <si>
    <t>CL0138</t>
  </si>
  <si>
    <t>41899367</t>
  </si>
  <si>
    <t>patricia.garcia@hotmail.com</t>
  </si>
  <si>
    <t>CL0139</t>
  </si>
  <si>
    <t>36778888</t>
  </si>
  <si>
    <t>valentina.condori@yahoo.com</t>
  </si>
  <si>
    <t>CL0140</t>
  </si>
  <si>
    <t>74146043</t>
  </si>
  <si>
    <t>alonso.sanchez@gmail.com</t>
  </si>
  <si>
    <t>CL0141</t>
  </si>
  <si>
    <t>40326282</t>
  </si>
  <si>
    <t>pamela.vega@gmail.com</t>
  </si>
  <si>
    <t>CL0142</t>
  </si>
  <si>
    <t>45700265</t>
  </si>
  <si>
    <t>melissa.martinez@yahoo.com</t>
  </si>
  <si>
    <t>CL0143</t>
  </si>
  <si>
    <t>41690052</t>
  </si>
  <si>
    <t>melissa.ramos@hotmail.com</t>
  </si>
  <si>
    <t>CL0144</t>
  </si>
  <si>
    <t>73014276</t>
  </si>
  <si>
    <t>antonella.aguilar@yahoo.com</t>
  </si>
  <si>
    <t>CL0145</t>
  </si>
  <si>
    <t>20442454</t>
  </si>
  <si>
    <t>martin.chavez@hotmail.com</t>
  </si>
  <si>
    <t>CL0146</t>
  </si>
  <si>
    <t>29037655</t>
  </si>
  <si>
    <t>mateo.diaz@gmail.com</t>
  </si>
  <si>
    <t>CL0147</t>
  </si>
  <si>
    <t>58775543</t>
  </si>
  <si>
    <t>renata.martinez@hotmail.com</t>
  </si>
  <si>
    <t>CL0148</t>
  </si>
  <si>
    <t>21739986</t>
  </si>
  <si>
    <t>sofia.mendoza@outlook.com</t>
  </si>
  <si>
    <t>CL0149</t>
  </si>
  <si>
    <t>45052250</t>
  </si>
  <si>
    <t>renata.gomez@gmail.com</t>
  </si>
  <si>
    <t>CL0150</t>
  </si>
  <si>
    <t>14158247</t>
  </si>
  <si>
    <t>daniela.lopez@yahoo.com</t>
  </si>
  <si>
    <t>CL0151</t>
  </si>
  <si>
    <t>39068104</t>
  </si>
  <si>
    <t>milagros.gomez@gmail.com</t>
  </si>
  <si>
    <t>CL0152</t>
  </si>
  <si>
    <t>17242994</t>
  </si>
  <si>
    <t>martin.garcia@gmail.com</t>
  </si>
  <si>
    <t>CL0153</t>
  </si>
  <si>
    <t>79140956</t>
  </si>
  <si>
    <t>sofia.cabrera@outlook.com</t>
  </si>
  <si>
    <t>CL0154</t>
  </si>
  <si>
    <t>20855878</t>
  </si>
  <si>
    <t>franco.ramos@yahoo.com</t>
  </si>
  <si>
    <t>CL0155</t>
  </si>
  <si>
    <t>21565931</t>
  </si>
  <si>
    <t>mariana.salazar@yahoo.com</t>
  </si>
  <si>
    <t>CL0156</t>
  </si>
  <si>
    <t>60909474</t>
  </si>
  <si>
    <t>gabriel.mamani@hotmail.com</t>
  </si>
  <si>
    <t>CL0157</t>
  </si>
  <si>
    <t>53843590</t>
  </si>
  <si>
    <t>cristian.fuentes@hotmail.com</t>
  </si>
  <si>
    <t>CL0158</t>
  </si>
  <si>
    <t>44522530</t>
  </si>
  <si>
    <t>gianella.cruz@hotmail.com</t>
  </si>
  <si>
    <t>CL0159</t>
  </si>
  <si>
    <t>30749300</t>
  </si>
  <si>
    <t>santiago.mendoza@hotmail.com</t>
  </si>
  <si>
    <t>CL0160</t>
  </si>
  <si>
    <t>35403847</t>
  </si>
  <si>
    <t>piero.carrasco@outlook.com</t>
  </si>
  <si>
    <t>CL0161</t>
  </si>
  <si>
    <t>50547885</t>
  </si>
  <si>
    <t>aldo.gomez@outlook.com</t>
  </si>
  <si>
    <t>CL0162</t>
  </si>
  <si>
    <t>72265799</t>
  </si>
  <si>
    <t>antonella.gomez@gmail.com</t>
  </si>
  <si>
    <t>CL0163</t>
  </si>
  <si>
    <t>29033755</t>
  </si>
  <si>
    <t>hugo.guerrero@outlook.com</t>
  </si>
  <si>
    <t>CL0164</t>
  </si>
  <si>
    <t>66526440</t>
  </si>
  <si>
    <t>pamela.mendoza@hotmail.com</t>
  </si>
  <si>
    <t>CL0165</t>
  </si>
  <si>
    <t>23135460</t>
  </si>
  <si>
    <t>fabrizio.diaz@yahoo.com</t>
  </si>
  <si>
    <t>CL0166</t>
  </si>
  <si>
    <t>12638359</t>
  </si>
  <si>
    <t>karla.flores@yahoo.com</t>
  </si>
  <si>
    <t>CL0167</t>
  </si>
  <si>
    <t>24278084</t>
  </si>
  <si>
    <t>mariana.garcia@gmail.com</t>
  </si>
  <si>
    <t>CL0168</t>
  </si>
  <si>
    <t>71308603</t>
  </si>
  <si>
    <t>gabriel.flores@hotmail.com</t>
  </si>
  <si>
    <t>CL0169</t>
  </si>
  <si>
    <t>71325367</t>
  </si>
  <si>
    <t>mateo.espinoza@hotmail.com</t>
  </si>
  <si>
    <t>CL0170</t>
  </si>
  <si>
    <t>61249253</t>
  </si>
  <si>
    <t>ricardo.diaz@yahoo.com</t>
  </si>
  <si>
    <t>CL0171</t>
  </si>
  <si>
    <t>45588834</t>
  </si>
  <si>
    <t>isabella.paredes@gmail.com</t>
  </si>
  <si>
    <t>CL0172</t>
  </si>
  <si>
    <t>32083292</t>
  </si>
  <si>
    <t>pamela.rios@hotmail.com</t>
  </si>
  <si>
    <t>CL0173</t>
  </si>
  <si>
    <t>29631149</t>
  </si>
  <si>
    <t>antonella.medina@outlook.com</t>
  </si>
  <si>
    <t>CL0174</t>
  </si>
  <si>
    <t>40931003</t>
  </si>
  <si>
    <t>daniela.ponce@outlook.com</t>
  </si>
  <si>
    <t>CL0175</t>
  </si>
  <si>
    <t>47743594</t>
  </si>
  <si>
    <t>ximena.guerrero@outlook.com</t>
  </si>
  <si>
    <t>CL0176</t>
  </si>
  <si>
    <t>21465080</t>
  </si>
  <si>
    <t>alonso.cruz@outlook.com</t>
  </si>
  <si>
    <t>CL0177</t>
  </si>
  <si>
    <t>28844398</t>
  </si>
  <si>
    <t>hugo.aguilar@outlook.com</t>
  </si>
  <si>
    <t>CL0178</t>
  </si>
  <si>
    <t>23624701</t>
  </si>
  <si>
    <t>valentina.ramos@hotmail.com</t>
  </si>
  <si>
    <t>CL0179</t>
  </si>
  <si>
    <t>64020531</t>
  </si>
  <si>
    <t>lucia.cardenas@hotmail.com</t>
  </si>
  <si>
    <t>CL0180</t>
  </si>
  <si>
    <t>20551530</t>
  </si>
  <si>
    <t>patricia.ponce@yahoo.com</t>
  </si>
  <si>
    <t>CL0181</t>
  </si>
  <si>
    <t>17845626</t>
  </si>
  <si>
    <t>nicolas.reyes@yahoo.com</t>
  </si>
  <si>
    <t>CL0182</t>
  </si>
  <si>
    <t>10886747</t>
  </si>
  <si>
    <t>ivan.cabrera@hotmail.com</t>
  </si>
  <si>
    <t>CL0183</t>
  </si>
  <si>
    <t>60325994</t>
  </si>
  <si>
    <t>ivan.bravo@yahoo.com</t>
  </si>
  <si>
    <t>CL0184</t>
  </si>
  <si>
    <t>16156605</t>
  </si>
  <si>
    <t>isabella.rojas@outlook.com</t>
  </si>
  <si>
    <t>CL0185</t>
  </si>
  <si>
    <t>27032443</t>
  </si>
  <si>
    <t>alessandra.cabrera@outlook.com</t>
  </si>
  <si>
    <t>CL0186</t>
  </si>
  <si>
    <t>38283069</t>
  </si>
  <si>
    <t>ignacio.herrera@outlook.com</t>
  </si>
  <si>
    <t>CL0187</t>
  </si>
  <si>
    <t>76267357</t>
  </si>
  <si>
    <t>martin.reyes@yahoo.com</t>
  </si>
  <si>
    <t>CL0188</t>
  </si>
  <si>
    <t>54412145</t>
  </si>
  <si>
    <t>rodrigo.nunez@hotmail.com</t>
  </si>
  <si>
    <t>CL0189</t>
  </si>
  <si>
    <t>64496309</t>
  </si>
  <si>
    <t>renata.campos@gmail.com</t>
  </si>
  <si>
    <t>CL0190</t>
  </si>
  <si>
    <t>18073031</t>
  </si>
  <si>
    <t>sofia.garcia@yahoo.com</t>
  </si>
  <si>
    <t>CL0191</t>
  </si>
  <si>
    <t>71455523</t>
  </si>
  <si>
    <t>claudia.fuentes@hotmail.com</t>
  </si>
  <si>
    <t>CL0192</t>
  </si>
  <si>
    <t>11802069</t>
  </si>
  <si>
    <t>fabrizio.martinez@outlook.com</t>
  </si>
  <si>
    <t>CL0193</t>
  </si>
  <si>
    <t>12736975</t>
  </si>
  <si>
    <t>gianella.reyes@yahoo.com</t>
  </si>
  <si>
    <t>CL0194</t>
  </si>
  <si>
    <t>66515256</t>
  </si>
  <si>
    <t>alvaro.carrasco@yahoo.com</t>
  </si>
  <si>
    <t>CL0195</t>
  </si>
  <si>
    <t>65353685</t>
  </si>
  <si>
    <t>valentina.aguilar@gmail.com</t>
  </si>
  <si>
    <t>CL0196</t>
  </si>
  <si>
    <t>11251911</t>
  </si>
  <si>
    <t>alessandra.ramos@gmail.com</t>
  </si>
  <si>
    <t>CL0197</t>
  </si>
  <si>
    <t>42516980</t>
  </si>
  <si>
    <t>silvia.diaz@yahoo.com</t>
  </si>
  <si>
    <t>CL0198</t>
  </si>
  <si>
    <t>44098089</t>
  </si>
  <si>
    <t>ignacio.vargas@gmail.com</t>
  </si>
  <si>
    <t>CL0199</t>
  </si>
  <si>
    <t>32279744</t>
  </si>
  <si>
    <t>sebastian.garcia@yahoo.com</t>
  </si>
  <si>
    <t>CL0200</t>
  </si>
  <si>
    <t>25663934</t>
  </si>
  <si>
    <t>ignacio.bravo@outlook.com</t>
  </si>
  <si>
    <t>CL0201</t>
  </si>
  <si>
    <t>54813359</t>
  </si>
  <si>
    <t>adriana.paredes@outlook.com</t>
  </si>
  <si>
    <t>CL0202</t>
  </si>
  <si>
    <t>12080452</t>
  </si>
  <si>
    <t>rosa.fuentes@hotmail.com</t>
  </si>
  <si>
    <t>CL0203</t>
  </si>
  <si>
    <t>41454364</t>
  </si>
  <si>
    <t>martin.mendoza@yahoo.com</t>
  </si>
  <si>
    <t>CL0204</t>
  </si>
  <si>
    <t>15676950</t>
  </si>
  <si>
    <t>valentina.cruz@outlook.com</t>
  </si>
  <si>
    <t>CL0205</t>
  </si>
  <si>
    <t>21417037</t>
  </si>
  <si>
    <t>joaquin.quispe@yahoo.com</t>
  </si>
  <si>
    <t>CL0206</t>
  </si>
  <si>
    <t>72454585</t>
  </si>
  <si>
    <t>marco.chavez@hotmail.com</t>
  </si>
  <si>
    <t>CL0207</t>
  </si>
  <si>
    <t>57661401</t>
  </si>
  <si>
    <t>victor.garcia@gmail.com</t>
  </si>
  <si>
    <t>CL0208</t>
  </si>
  <si>
    <t>77936810</t>
  </si>
  <si>
    <t>katherine.carrasco@hotmail.com</t>
  </si>
  <si>
    <t>CL0209</t>
  </si>
  <si>
    <t>58169474</t>
  </si>
  <si>
    <t>antonella.perez@yahoo.com</t>
  </si>
  <si>
    <t>CL0210</t>
  </si>
  <si>
    <t>72201039</t>
  </si>
  <si>
    <t>camila.cabrera@gmail.com</t>
  </si>
  <si>
    <t>CL0211</t>
  </si>
  <si>
    <t>37466822</t>
  </si>
  <si>
    <t>piero.rodriguez@yahoo.com</t>
  </si>
  <si>
    <t>CL0212</t>
  </si>
  <si>
    <t>27569612</t>
  </si>
  <si>
    <t>lucia.quispe@outlook.com</t>
  </si>
  <si>
    <t>CL0213</t>
  </si>
  <si>
    <t>59611341</t>
  </si>
  <si>
    <t>antonella.rojas@yahoo.com</t>
  </si>
  <si>
    <t>CL0214</t>
  </si>
  <si>
    <t>41300632</t>
  </si>
  <si>
    <t>silvia.fuentes@gmail.com</t>
  </si>
  <si>
    <t>CL0215</t>
  </si>
  <si>
    <t>44341241</t>
  </si>
  <si>
    <t>julia.flores@outlook.com</t>
  </si>
  <si>
    <t>CL0216</t>
  </si>
  <si>
    <t>29434400</t>
  </si>
  <si>
    <t>patricia.rodriguez@outlook.com</t>
  </si>
  <si>
    <t>CL0217</t>
  </si>
  <si>
    <t>24149224</t>
  </si>
  <si>
    <t>claudia.mamani@yahoo.com</t>
  </si>
  <si>
    <t>CL0218</t>
  </si>
  <si>
    <t>69241669</t>
  </si>
  <si>
    <t>ximena.aguilar@hotmail.com</t>
  </si>
  <si>
    <t>CL0219</t>
  </si>
  <si>
    <t>31066300</t>
  </si>
  <si>
    <t>patricia.garcia2@gmail.com</t>
  </si>
  <si>
    <t>CL0220</t>
  </si>
  <si>
    <t>70711220</t>
  </si>
  <si>
    <t>lucia.cardenas@outlook.com</t>
  </si>
  <si>
    <t>CL0221</t>
  </si>
  <si>
    <t>17613688</t>
  </si>
  <si>
    <t>alessandra.diaz@hotmail.com</t>
  </si>
  <si>
    <t>CL0222</t>
  </si>
  <si>
    <t>65268400</t>
  </si>
  <si>
    <t>raul.vargas@hotmail.com</t>
  </si>
  <si>
    <t>CL0223</t>
  </si>
  <si>
    <t>24661654</t>
  </si>
  <si>
    <t>rodrigo.bravo@outlook.com</t>
  </si>
  <si>
    <t>CL0224</t>
  </si>
  <si>
    <t>48417563</t>
  </si>
  <si>
    <t>nicolas.vargas@gmail.com</t>
  </si>
  <si>
    <t>CL0225</t>
  </si>
  <si>
    <t>48846452</t>
  </si>
  <si>
    <t>ignacio.guerrero@yahoo.com</t>
  </si>
  <si>
    <t>CL0226</t>
  </si>
  <si>
    <t>78154745</t>
  </si>
  <si>
    <t>yolanda.huaman@outlook.com</t>
  </si>
  <si>
    <t>CL0227</t>
  </si>
  <si>
    <t>64887071</t>
  </si>
  <si>
    <t>valentina.carrasco@hotmail.com</t>
  </si>
  <si>
    <t>CL0228</t>
  </si>
  <si>
    <t>36402172</t>
  </si>
  <si>
    <t>fabrizio.torres@gmail.com</t>
  </si>
  <si>
    <t>CL0229</t>
  </si>
  <si>
    <t>35793948</t>
  </si>
  <si>
    <t>enrique.cabrera@outlook.com</t>
  </si>
  <si>
    <t>CL0230</t>
  </si>
  <si>
    <t>79586413</t>
  </si>
  <si>
    <t>isabella.carrasco@outlook.com</t>
  </si>
  <si>
    <t>CL0231</t>
  </si>
  <si>
    <t>73970094</t>
  </si>
  <si>
    <t>yolanda.cabrera@hotmail.com</t>
  </si>
  <si>
    <t>CL0232</t>
  </si>
  <si>
    <t>10622701</t>
  </si>
  <si>
    <t>fabrizio.bravo@outlook.com</t>
  </si>
  <si>
    <t>Surco</t>
  </si>
  <si>
    <t>CL0233</t>
  </si>
  <si>
    <t>53081042</t>
  </si>
  <si>
    <t>isabella.diaz@yahoo.com</t>
  </si>
  <si>
    <t>CL0234</t>
  </si>
  <si>
    <t>28035055</t>
  </si>
  <si>
    <t>silvia.gomez@gmail.com</t>
  </si>
  <si>
    <t>CL0235</t>
  </si>
  <si>
    <t>14036404</t>
  </si>
  <si>
    <t>fernanda.condori@gmail.com</t>
  </si>
  <si>
    <t>CL0236</t>
  </si>
  <si>
    <t>69621171</t>
  </si>
  <si>
    <t>pamela.castillo@gmail.com</t>
  </si>
  <si>
    <t>CL0237</t>
  </si>
  <si>
    <t>77210270</t>
  </si>
  <si>
    <t>karla.rojas@outlook.com</t>
  </si>
  <si>
    <t>CL0238</t>
  </si>
  <si>
    <t>nicolas.rios@yahoo.com</t>
  </si>
  <si>
    <t>CL0239</t>
  </si>
  <si>
    <t>14859658</t>
  </si>
  <si>
    <t>franco.rodriguez@yahoo.com</t>
  </si>
  <si>
    <t>CL0240</t>
  </si>
  <si>
    <t>53034187</t>
  </si>
  <si>
    <t>emilio.rios@yahoo.com</t>
  </si>
  <si>
    <t>CL0241</t>
  </si>
  <si>
    <t>11550817</t>
  </si>
  <si>
    <t>milagros.vargas@outlook.com</t>
  </si>
  <si>
    <t>CL0242</t>
  </si>
  <si>
    <t>12795478</t>
  </si>
  <si>
    <t>fabrizio.sanchez@hotmail.com</t>
  </si>
  <si>
    <t>CL0243</t>
  </si>
  <si>
    <t>45671313</t>
  </si>
  <si>
    <t>bruno.vega@outlook.com</t>
  </si>
  <si>
    <t>CL0244</t>
  </si>
  <si>
    <t>15290712</t>
  </si>
  <si>
    <t>sofia.reyes@outlook.com</t>
  </si>
  <si>
    <t>CL0245</t>
  </si>
  <si>
    <t>29918895</t>
  </si>
  <si>
    <t>paula.flores@yahoo.com</t>
  </si>
  <si>
    <t>CL0246</t>
  </si>
  <si>
    <t>21790654</t>
  </si>
  <si>
    <t>renata.huaman@outlook.com</t>
  </si>
  <si>
    <t>CL0247</t>
  </si>
  <si>
    <t>59232908</t>
  </si>
  <si>
    <t>ivan.bravo2@outlook.com</t>
  </si>
  <si>
    <t>CL0248</t>
  </si>
  <si>
    <t>78779807</t>
  </si>
  <si>
    <t>franco.mamani@yahoo.com</t>
  </si>
  <si>
    <t>CL0249</t>
  </si>
  <si>
    <t>48227890</t>
  </si>
  <si>
    <t>paula.flores@hotmail.com</t>
  </si>
  <si>
    <t>CL0250</t>
  </si>
  <si>
    <t>56707086</t>
  </si>
  <si>
    <t>lucia.rodriguez@yahoo.com</t>
  </si>
  <si>
    <t>FechaDesembolso</t>
  </si>
  <si>
    <t>MontoDesembolsado</t>
  </si>
  <si>
    <t>TEA</t>
  </si>
  <si>
    <t>Plazos (Meses)</t>
  </si>
  <si>
    <t>CR00001</t>
  </si>
  <si>
    <t>CR00002</t>
  </si>
  <si>
    <t>CR00003</t>
  </si>
  <si>
    <t>CR00004</t>
  </si>
  <si>
    <t>CR00005</t>
  </si>
  <si>
    <t>CR00006</t>
  </si>
  <si>
    <t>CR00007</t>
  </si>
  <si>
    <t>CR00008</t>
  </si>
  <si>
    <t>CR00009</t>
  </si>
  <si>
    <t>CR00010</t>
  </si>
  <si>
    <t>CR00011</t>
  </si>
  <si>
    <t>CR00012</t>
  </si>
  <si>
    <t>CR00013</t>
  </si>
  <si>
    <t>CR00014</t>
  </si>
  <si>
    <t>CR00015</t>
  </si>
  <si>
    <t>CR00016</t>
  </si>
  <si>
    <t>CR00017</t>
  </si>
  <si>
    <t>CR00018</t>
  </si>
  <si>
    <t>CR00019</t>
  </si>
  <si>
    <t>CR00020</t>
  </si>
  <si>
    <t>CR00021</t>
  </si>
  <si>
    <t>CR00022</t>
  </si>
  <si>
    <t>CR00023</t>
  </si>
  <si>
    <t>CR00024</t>
  </si>
  <si>
    <t>CR00025</t>
  </si>
  <si>
    <t>CR00026</t>
  </si>
  <si>
    <t>CR00027</t>
  </si>
  <si>
    <t>CR00028</t>
  </si>
  <si>
    <t>CR00029</t>
  </si>
  <si>
    <t>CR00030</t>
  </si>
  <si>
    <t>CR00031</t>
  </si>
  <si>
    <t>CR00032</t>
  </si>
  <si>
    <t>CR00033</t>
  </si>
  <si>
    <t>CR00034</t>
  </si>
  <si>
    <t>CR00035</t>
  </si>
  <si>
    <t>CR00036</t>
  </si>
  <si>
    <t>CR00037</t>
  </si>
  <si>
    <t>CR00038</t>
  </si>
  <si>
    <t>CR00039</t>
  </si>
  <si>
    <t>CR00040</t>
  </si>
  <si>
    <t>CR00041</t>
  </si>
  <si>
    <t>CR00042</t>
  </si>
  <si>
    <t>CR00043</t>
  </si>
  <si>
    <t>CR00044</t>
  </si>
  <si>
    <t>CR00045</t>
  </si>
  <si>
    <t>CR00046</t>
  </si>
  <si>
    <t>CR00047</t>
  </si>
  <si>
    <t>CR00048</t>
  </si>
  <si>
    <t>CR00049</t>
  </si>
  <si>
    <t>CR00050</t>
  </si>
  <si>
    <t>CR00051</t>
  </si>
  <si>
    <t>CR00052</t>
  </si>
  <si>
    <t>CR00053</t>
  </si>
  <si>
    <t>CR00054</t>
  </si>
  <si>
    <t>CR00055</t>
  </si>
  <si>
    <t>CR00056</t>
  </si>
  <si>
    <t>CR00057</t>
  </si>
  <si>
    <t>CR00058</t>
  </si>
  <si>
    <t>CR00059</t>
  </si>
  <si>
    <t>CR00060</t>
  </si>
  <si>
    <t>CR00061</t>
  </si>
  <si>
    <t>CR00062</t>
  </si>
  <si>
    <t>CR00063</t>
  </si>
  <si>
    <t>CR00064</t>
  </si>
  <si>
    <t>CR00065</t>
  </si>
  <si>
    <t>CR00066</t>
  </si>
  <si>
    <t>CR00067</t>
  </si>
  <si>
    <t>CR00068</t>
  </si>
  <si>
    <t>CR00069</t>
  </si>
  <si>
    <t>CR00070</t>
  </si>
  <si>
    <t>CR00071</t>
  </si>
  <si>
    <t>CR00072</t>
  </si>
  <si>
    <t>CR00073</t>
  </si>
  <si>
    <t>CR00074</t>
  </si>
  <si>
    <t>CR00075</t>
  </si>
  <si>
    <t>CR00076</t>
  </si>
  <si>
    <t>CR00077</t>
  </si>
  <si>
    <t>CR00078</t>
  </si>
  <si>
    <t>CR00079</t>
  </si>
  <si>
    <t>CR00080</t>
  </si>
  <si>
    <t>CR00081</t>
  </si>
  <si>
    <t>CR00082</t>
  </si>
  <si>
    <t>CR00083</t>
  </si>
  <si>
    <t>CR00084</t>
  </si>
  <si>
    <t>CR00085</t>
  </si>
  <si>
    <t>CR00086</t>
  </si>
  <si>
    <t>CR00087</t>
  </si>
  <si>
    <t>CR00088</t>
  </si>
  <si>
    <t>CR00089</t>
  </si>
  <si>
    <t>CR00090</t>
  </si>
  <si>
    <t>CR00091</t>
  </si>
  <si>
    <t>CR00092</t>
  </si>
  <si>
    <t>CR00093</t>
  </si>
  <si>
    <t>CR00094</t>
  </si>
  <si>
    <t>CR00095</t>
  </si>
  <si>
    <t>CR00096</t>
  </si>
  <si>
    <t>CR00097</t>
  </si>
  <si>
    <t>CR00098</t>
  </si>
  <si>
    <t>CR00099</t>
  </si>
  <si>
    <t>CR00100</t>
  </si>
  <si>
    <t>CR00101</t>
  </si>
  <si>
    <t>CR00102</t>
  </si>
  <si>
    <t>CR00103</t>
  </si>
  <si>
    <t>CR00104</t>
  </si>
  <si>
    <t>CR00105</t>
  </si>
  <si>
    <t>CR00106</t>
  </si>
  <si>
    <t>CR00107</t>
  </si>
  <si>
    <t>CR00108</t>
  </si>
  <si>
    <t>CR00109</t>
  </si>
  <si>
    <t>CR00110</t>
  </si>
  <si>
    <t>CR00111</t>
  </si>
  <si>
    <t>CR00112</t>
  </si>
  <si>
    <t>CR00113</t>
  </si>
  <si>
    <t>CR00114</t>
  </si>
  <si>
    <t>CR00115</t>
  </si>
  <si>
    <t>CR00116</t>
  </si>
  <si>
    <t>CR00117</t>
  </si>
  <si>
    <t>CR00118</t>
  </si>
  <si>
    <t>CR00119</t>
  </si>
  <si>
    <t>CR00120</t>
  </si>
  <si>
    <t>CR00121</t>
  </si>
  <si>
    <t>CR00122</t>
  </si>
  <si>
    <t>CR00123</t>
  </si>
  <si>
    <t>CR00124</t>
  </si>
  <si>
    <t>CR00125</t>
  </si>
  <si>
    <t>CR00126</t>
  </si>
  <si>
    <t>CR00127</t>
  </si>
  <si>
    <t>CR00128</t>
  </si>
  <si>
    <t>CR00129</t>
  </si>
  <si>
    <t>CR00130</t>
  </si>
  <si>
    <t>CR00131</t>
  </si>
  <si>
    <t>CR00132</t>
  </si>
  <si>
    <t>CR00133</t>
  </si>
  <si>
    <t>CR00134</t>
  </si>
  <si>
    <t>CR00135</t>
  </si>
  <si>
    <t>CR00136</t>
  </si>
  <si>
    <t>CR00137</t>
  </si>
  <si>
    <t>CR00138</t>
  </si>
  <si>
    <t>CR00139</t>
  </si>
  <si>
    <t>CR00140</t>
  </si>
  <si>
    <t>CR00141</t>
  </si>
  <si>
    <t>CR00142</t>
  </si>
  <si>
    <t>CR00143</t>
  </si>
  <si>
    <t>CR00144</t>
  </si>
  <si>
    <t>CR00145</t>
  </si>
  <si>
    <t>CR00146</t>
  </si>
  <si>
    <t>CR00147</t>
  </si>
  <si>
    <t>CR00148</t>
  </si>
  <si>
    <t>CR00149</t>
  </si>
  <si>
    <t>CR00150</t>
  </si>
  <si>
    <t>CR00151</t>
  </si>
  <si>
    <t>CR00152</t>
  </si>
  <si>
    <t>CR00153</t>
  </si>
  <si>
    <t>CR00154</t>
  </si>
  <si>
    <t>CR00155</t>
  </si>
  <si>
    <t>CR00156</t>
  </si>
  <si>
    <t>CR00157</t>
  </si>
  <si>
    <t>CR00158</t>
  </si>
  <si>
    <t>CR00159</t>
  </si>
  <si>
    <t>CR00160</t>
  </si>
  <si>
    <t>CR00161</t>
  </si>
  <si>
    <t>CR00162</t>
  </si>
  <si>
    <t>CR00163</t>
  </si>
  <si>
    <t>CR00164</t>
  </si>
  <si>
    <t>CR00165</t>
  </si>
  <si>
    <t>CR00166</t>
  </si>
  <si>
    <t>CR00167</t>
  </si>
  <si>
    <t>CR00168</t>
  </si>
  <si>
    <t>CR00169</t>
  </si>
  <si>
    <t>CR00170</t>
  </si>
  <si>
    <t>CR00171</t>
  </si>
  <si>
    <t>CR00172</t>
  </si>
  <si>
    <t>CR00173</t>
  </si>
  <si>
    <t>CR00174</t>
  </si>
  <si>
    <t>CR00175</t>
  </si>
  <si>
    <t>CR00176</t>
  </si>
  <si>
    <t>CR00177</t>
  </si>
  <si>
    <t>CR00178</t>
  </si>
  <si>
    <t>CR00179</t>
  </si>
  <si>
    <t>CR00180</t>
  </si>
  <si>
    <t>CR00181</t>
  </si>
  <si>
    <t>CR00182</t>
  </si>
  <si>
    <t>CR00183</t>
  </si>
  <si>
    <t>CR00184</t>
  </si>
  <si>
    <t>CR00185</t>
  </si>
  <si>
    <t>CR00186</t>
  </si>
  <si>
    <t>CR00187</t>
  </si>
  <si>
    <t>CR00188</t>
  </si>
  <si>
    <t>CR00189</t>
  </si>
  <si>
    <t>CR00190</t>
  </si>
  <si>
    <t>CR00191</t>
  </si>
  <si>
    <t>CR00192</t>
  </si>
  <si>
    <t>CR00193</t>
  </si>
  <si>
    <t>CR00194</t>
  </si>
  <si>
    <t>CR00195</t>
  </si>
  <si>
    <t>CR00196</t>
  </si>
  <si>
    <t>CR00197</t>
  </si>
  <si>
    <t>CR00198</t>
  </si>
  <si>
    <t>CR00199</t>
  </si>
  <si>
    <t>CR00200</t>
  </si>
  <si>
    <t>CR00201</t>
  </si>
  <si>
    <t>CR00202</t>
  </si>
  <si>
    <t>CR00203</t>
  </si>
  <si>
    <t>CR00204</t>
  </si>
  <si>
    <t>CR00205</t>
  </si>
  <si>
    <t>CR00206</t>
  </si>
  <si>
    <t>CR00207</t>
  </si>
  <si>
    <t>CR00208</t>
  </si>
  <si>
    <t>CR00209</t>
  </si>
  <si>
    <t>CR00210</t>
  </si>
  <si>
    <t>CR00211</t>
  </si>
  <si>
    <t>CR00212</t>
  </si>
  <si>
    <t>CR00213</t>
  </si>
  <si>
    <t>CR00214</t>
  </si>
  <si>
    <t>CR00215</t>
  </si>
  <si>
    <t>CR00216</t>
  </si>
  <si>
    <t>CR00217</t>
  </si>
  <si>
    <t>CR00218</t>
  </si>
  <si>
    <t>CR00219</t>
  </si>
  <si>
    <t>CR00220</t>
  </si>
  <si>
    <t>CR00221</t>
  </si>
  <si>
    <t>CR00222</t>
  </si>
  <si>
    <t>CR00223</t>
  </si>
  <si>
    <t>CR00224</t>
  </si>
  <si>
    <t>CR00225</t>
  </si>
  <si>
    <t>CR00226</t>
  </si>
  <si>
    <t>CR00227</t>
  </si>
  <si>
    <t>CR00228</t>
  </si>
  <si>
    <t>CR00229</t>
  </si>
  <si>
    <t>CR00230</t>
  </si>
  <si>
    <t>CR00231</t>
  </si>
  <si>
    <t>CR00232</t>
  </si>
  <si>
    <t>CR00233</t>
  </si>
  <si>
    <t>CR00234</t>
  </si>
  <si>
    <t>CR00235</t>
  </si>
  <si>
    <t>CR00236</t>
  </si>
  <si>
    <t>CR00237</t>
  </si>
  <si>
    <t>CR00238</t>
  </si>
  <si>
    <t>CR00239</t>
  </si>
  <si>
    <t>CR00240</t>
  </si>
  <si>
    <t>CR00241</t>
  </si>
  <si>
    <t>CR00242</t>
  </si>
  <si>
    <t>CR00243</t>
  </si>
  <si>
    <t>CR00244</t>
  </si>
  <si>
    <t>CR00245</t>
  </si>
  <si>
    <t>CR00246</t>
  </si>
  <si>
    <t>CR00247</t>
  </si>
  <si>
    <t>CR00248</t>
  </si>
  <si>
    <t>CR00249</t>
  </si>
  <si>
    <t>CR00250</t>
  </si>
  <si>
    <t>CR00251</t>
  </si>
  <si>
    <t>CR00252</t>
  </si>
  <si>
    <t>CR00253</t>
  </si>
  <si>
    <t>CR00254</t>
  </si>
  <si>
    <t>CR00255</t>
  </si>
  <si>
    <t>CR00256</t>
  </si>
  <si>
    <t>CR00257</t>
  </si>
  <si>
    <t>CR00258</t>
  </si>
  <si>
    <t>CR00259</t>
  </si>
  <si>
    <t>CR00260</t>
  </si>
  <si>
    <t>CR00261</t>
  </si>
  <si>
    <t>CR00262</t>
  </si>
  <si>
    <t>CR00263</t>
  </si>
  <si>
    <t>CR00264</t>
  </si>
  <si>
    <t>CR00265</t>
  </si>
  <si>
    <t>CR00266</t>
  </si>
  <si>
    <t>CR00267</t>
  </si>
  <si>
    <t>CR00268</t>
  </si>
  <si>
    <t>CR00269</t>
  </si>
  <si>
    <t>CR00270</t>
  </si>
  <si>
    <t>CR00271</t>
  </si>
  <si>
    <t>CR00272</t>
  </si>
  <si>
    <t>CR00273</t>
  </si>
  <si>
    <t>CR00274</t>
  </si>
  <si>
    <t>CR00275</t>
  </si>
  <si>
    <t>CR00276</t>
  </si>
  <si>
    <t>CR00277</t>
  </si>
  <si>
    <t>CR00278</t>
  </si>
  <si>
    <t>CR00279</t>
  </si>
  <si>
    <t>CR00280</t>
  </si>
  <si>
    <t>CR00281</t>
  </si>
  <si>
    <t>CR00282</t>
  </si>
  <si>
    <t>CR00283</t>
  </si>
  <si>
    <t>CR00284</t>
  </si>
  <si>
    <t>CR00285</t>
  </si>
  <si>
    <t>CR00286</t>
  </si>
  <si>
    <t>CR00287</t>
  </si>
  <si>
    <t>CR00288</t>
  </si>
  <si>
    <t>CR00289</t>
  </si>
  <si>
    <t>CR00290</t>
  </si>
  <si>
    <t>CR00291</t>
  </si>
  <si>
    <t>CR00292</t>
  </si>
  <si>
    <t>CR00293</t>
  </si>
  <si>
    <t>CR00294</t>
  </si>
  <si>
    <t>CR00295</t>
  </si>
  <si>
    <t>CR00296</t>
  </si>
  <si>
    <t>CR00297</t>
  </si>
  <si>
    <t>CR00298</t>
  </si>
  <si>
    <t>CR00299</t>
  </si>
  <si>
    <t>CR00300</t>
  </si>
  <si>
    <t>CR00301</t>
  </si>
  <si>
    <t>CR00302</t>
  </si>
  <si>
    <t>CR00303</t>
  </si>
  <si>
    <t>CR00304</t>
  </si>
  <si>
    <t>CR00305</t>
  </si>
  <si>
    <t>CR00306</t>
  </si>
  <si>
    <t>CR00307</t>
  </si>
  <si>
    <t>CR00308</t>
  </si>
  <si>
    <t>CR00309</t>
  </si>
  <si>
    <t>CR00310</t>
  </si>
  <si>
    <t>CR00311</t>
  </si>
  <si>
    <t>CR00312</t>
  </si>
  <si>
    <t>CR00313</t>
  </si>
  <si>
    <t>CR00314</t>
  </si>
  <si>
    <t>CR00315</t>
  </si>
  <si>
    <t>CR00316</t>
  </si>
  <si>
    <t>CR00317</t>
  </si>
  <si>
    <t>CR00318</t>
  </si>
  <si>
    <t>CR00319</t>
  </si>
  <si>
    <t>CR00320</t>
  </si>
  <si>
    <t>CR00321</t>
  </si>
  <si>
    <t>CR00322</t>
  </si>
  <si>
    <t>CR00323</t>
  </si>
  <si>
    <t>CR00324</t>
  </si>
  <si>
    <t>CR00325</t>
  </si>
  <si>
    <t>CR00326</t>
  </si>
  <si>
    <t>CR00327</t>
  </si>
  <si>
    <t>CR00328</t>
  </si>
  <si>
    <t>CR00329</t>
  </si>
  <si>
    <t>CR00330</t>
  </si>
  <si>
    <t>CR00331</t>
  </si>
  <si>
    <t>CR00332</t>
  </si>
  <si>
    <t>CR00333</t>
  </si>
  <si>
    <t>CR00334</t>
  </si>
  <si>
    <t>CR00335</t>
  </si>
  <si>
    <t>CR00336</t>
  </si>
  <si>
    <t>CR00337</t>
  </si>
  <si>
    <t>CR00338</t>
  </si>
  <si>
    <t>CR00339</t>
  </si>
  <si>
    <t>CR00340</t>
  </si>
  <si>
    <t>CR00341</t>
  </si>
  <si>
    <t>CR00342</t>
  </si>
  <si>
    <t>CR00343</t>
  </si>
  <si>
    <t>CR00344</t>
  </si>
  <si>
    <t>CR00345</t>
  </si>
  <si>
    <t>CR00346</t>
  </si>
  <si>
    <t>CR00347</t>
  </si>
  <si>
    <t>CR00348</t>
  </si>
  <si>
    <t>CR00349</t>
  </si>
  <si>
    <t>CR00350</t>
  </si>
  <si>
    <t>CR00351</t>
  </si>
  <si>
    <t>CR00352</t>
  </si>
  <si>
    <t>CR00353</t>
  </si>
  <si>
    <t>CR00354</t>
  </si>
  <si>
    <t>CR00355</t>
  </si>
  <si>
    <t>CR00356</t>
  </si>
  <si>
    <t>CR00357</t>
  </si>
  <si>
    <t>CR00358</t>
  </si>
  <si>
    <t>CR00359</t>
  </si>
  <si>
    <t>CR00360</t>
  </si>
  <si>
    <t>CR00361</t>
  </si>
  <si>
    <t>CR00362</t>
  </si>
  <si>
    <t>CR00363</t>
  </si>
  <si>
    <t>CR00364</t>
  </si>
  <si>
    <t>CR00365</t>
  </si>
  <si>
    <t>CR00366</t>
  </si>
  <si>
    <t>CR00367</t>
  </si>
  <si>
    <t>CR00368</t>
  </si>
  <si>
    <t>CR00369</t>
  </si>
  <si>
    <t>CR00370</t>
  </si>
  <si>
    <t>CR00371</t>
  </si>
  <si>
    <t>CR00372</t>
  </si>
  <si>
    <t>CR00373</t>
  </si>
  <si>
    <t>CR00374</t>
  </si>
  <si>
    <t>CR00375</t>
  </si>
  <si>
    <t>CR00376</t>
  </si>
  <si>
    <t>CR00377</t>
  </si>
  <si>
    <t>CR00378</t>
  </si>
  <si>
    <t>CR00379</t>
  </si>
  <si>
    <t>CR00380</t>
  </si>
  <si>
    <t>CR00381</t>
  </si>
  <si>
    <t>CR00382</t>
  </si>
  <si>
    <t>CR00383</t>
  </si>
  <si>
    <t>CR00384</t>
  </si>
  <si>
    <t>CR00385</t>
  </si>
  <si>
    <t>CR00386</t>
  </si>
  <si>
    <t>CR00387</t>
  </si>
  <si>
    <t>CR00388</t>
  </si>
  <si>
    <t>CR00389</t>
  </si>
  <si>
    <t>CR00390</t>
  </si>
  <si>
    <t>CR00391</t>
  </si>
  <si>
    <t>CR00392</t>
  </si>
  <si>
    <t>CR00393</t>
  </si>
  <si>
    <t>CR00394</t>
  </si>
  <si>
    <t>CR00395</t>
  </si>
  <si>
    <t>CR00396</t>
  </si>
  <si>
    <t>CR00397</t>
  </si>
  <si>
    <t>CR00398</t>
  </si>
  <si>
    <t>CR00399</t>
  </si>
  <si>
    <t>CR00400</t>
  </si>
  <si>
    <t>Cuota Mensual</t>
  </si>
  <si>
    <t>TEM</t>
  </si>
  <si>
    <t>Plazo transcurrido</t>
  </si>
  <si>
    <t>Plazo restante</t>
  </si>
  <si>
    <t>Saldo Pendiente</t>
  </si>
  <si>
    <t>En Mora</t>
  </si>
  <si>
    <t>Mes de Mora</t>
  </si>
  <si>
    <t>NO</t>
  </si>
  <si>
    <t>SI</t>
  </si>
  <si>
    <t/>
  </si>
  <si>
    <t>Estado</t>
  </si>
  <si>
    <t>DepositoID</t>
  </si>
  <si>
    <t>CreditoID</t>
  </si>
  <si>
    <t>D0001</t>
  </si>
  <si>
    <t>D0002</t>
  </si>
  <si>
    <t>D0003</t>
  </si>
  <si>
    <t>D0004</t>
  </si>
  <si>
    <t>D0005</t>
  </si>
  <si>
    <t>D0006</t>
  </si>
  <si>
    <t>D0007</t>
  </si>
  <si>
    <t>D0008</t>
  </si>
  <si>
    <t>D0009</t>
  </si>
  <si>
    <t>D0010</t>
  </si>
  <si>
    <t>D0011</t>
  </si>
  <si>
    <t>D0012</t>
  </si>
  <si>
    <t>D0013</t>
  </si>
  <si>
    <t>D0014</t>
  </si>
  <si>
    <t>D0015</t>
  </si>
  <si>
    <t>D0016</t>
  </si>
  <si>
    <t>D0017</t>
  </si>
  <si>
    <t>D0018</t>
  </si>
  <si>
    <t>D0019</t>
  </si>
  <si>
    <t>D0020</t>
  </si>
  <si>
    <t>D0021</t>
  </si>
  <si>
    <t>D0022</t>
  </si>
  <si>
    <t>D0023</t>
  </si>
  <si>
    <t>D0024</t>
  </si>
  <si>
    <t>D0025</t>
  </si>
  <si>
    <t>D0026</t>
  </si>
  <si>
    <t>D0027</t>
  </si>
  <si>
    <t>D0028</t>
  </si>
  <si>
    <t>D0029</t>
  </si>
  <si>
    <t>D0030</t>
  </si>
  <si>
    <t>D0031</t>
  </si>
  <si>
    <t>D0032</t>
  </si>
  <si>
    <t>D0033</t>
  </si>
  <si>
    <t>D0034</t>
  </si>
  <si>
    <t>D0035</t>
  </si>
  <si>
    <t>D0036</t>
  </si>
  <si>
    <t>D0037</t>
  </si>
  <si>
    <t>D0038</t>
  </si>
  <si>
    <t>D0039</t>
  </si>
  <si>
    <t>D0040</t>
  </si>
  <si>
    <t>D0041</t>
  </si>
  <si>
    <t>D0042</t>
  </si>
  <si>
    <t>D0043</t>
  </si>
  <si>
    <t>D0044</t>
  </si>
  <si>
    <t>D0045</t>
  </si>
  <si>
    <t>D0046</t>
  </si>
  <si>
    <t>D0047</t>
  </si>
  <si>
    <t>D0048</t>
  </si>
  <si>
    <t>D0049</t>
  </si>
  <si>
    <t>D0050</t>
  </si>
  <si>
    <t>D0051</t>
  </si>
  <si>
    <t>D0052</t>
  </si>
  <si>
    <t>D0053</t>
  </si>
  <si>
    <t>D0054</t>
  </si>
  <si>
    <t>D0055</t>
  </si>
  <si>
    <t>D0056</t>
  </si>
  <si>
    <t>D0057</t>
  </si>
  <si>
    <t>D0058</t>
  </si>
  <si>
    <t>D0059</t>
  </si>
  <si>
    <t>D0060</t>
  </si>
  <si>
    <t>D0061</t>
  </si>
  <si>
    <t>D0062</t>
  </si>
  <si>
    <t>D0063</t>
  </si>
  <si>
    <t>D0064</t>
  </si>
  <si>
    <t>D0065</t>
  </si>
  <si>
    <t>D0066</t>
  </si>
  <si>
    <t>D0067</t>
  </si>
  <si>
    <t>D0068</t>
  </si>
  <si>
    <t>D0069</t>
  </si>
  <si>
    <t>D0070</t>
  </si>
  <si>
    <t>D0071</t>
  </si>
  <si>
    <t>D0072</t>
  </si>
  <si>
    <t>D0073</t>
  </si>
  <si>
    <t>D0074</t>
  </si>
  <si>
    <t>D0075</t>
  </si>
  <si>
    <t>D0076</t>
  </si>
  <si>
    <t>D0077</t>
  </si>
  <si>
    <t>D0078</t>
  </si>
  <si>
    <t>D0079</t>
  </si>
  <si>
    <t>D0080</t>
  </si>
  <si>
    <t>D0081</t>
  </si>
  <si>
    <t>D0082</t>
  </si>
  <si>
    <t>D0083</t>
  </si>
  <si>
    <t>D0084</t>
  </si>
  <si>
    <t>D0085</t>
  </si>
  <si>
    <t>D0086</t>
  </si>
  <si>
    <t>D0087</t>
  </si>
  <si>
    <t>D0088</t>
  </si>
  <si>
    <t>D0089</t>
  </si>
  <si>
    <t>D0090</t>
  </si>
  <si>
    <t>D0091</t>
  </si>
  <si>
    <t>D0092</t>
  </si>
  <si>
    <t>D0093</t>
  </si>
  <si>
    <t>D0094</t>
  </si>
  <si>
    <t>D0095</t>
  </si>
  <si>
    <t>D0096</t>
  </si>
  <si>
    <t>D0097</t>
  </si>
  <si>
    <t>D0098</t>
  </si>
  <si>
    <t>D0099</t>
  </si>
  <si>
    <t>D0100</t>
  </si>
  <si>
    <t>D0101</t>
  </si>
  <si>
    <t>D0102</t>
  </si>
  <si>
    <t>D0103</t>
  </si>
  <si>
    <t>D0104</t>
  </si>
  <si>
    <t>D0105</t>
  </si>
  <si>
    <t>D0106</t>
  </si>
  <si>
    <t>D0107</t>
  </si>
  <si>
    <t>D0108</t>
  </si>
  <si>
    <t>D0109</t>
  </si>
  <si>
    <t>D0110</t>
  </si>
  <si>
    <t>D0111</t>
  </si>
  <si>
    <t>D0112</t>
  </si>
  <si>
    <t>D0113</t>
  </si>
  <si>
    <t>D0114</t>
  </si>
  <si>
    <t>D0115</t>
  </si>
  <si>
    <t>D0116</t>
  </si>
  <si>
    <t>D0117</t>
  </si>
  <si>
    <t>D0118</t>
  </si>
  <si>
    <t>D0119</t>
  </si>
  <si>
    <t>D0120</t>
  </si>
  <si>
    <t>D0121</t>
  </si>
  <si>
    <t>D0122</t>
  </si>
  <si>
    <t>D0123</t>
  </si>
  <si>
    <t>D0124</t>
  </si>
  <si>
    <t>D0125</t>
  </si>
  <si>
    <t>D0126</t>
  </si>
  <si>
    <t>D0127</t>
  </si>
  <si>
    <t>D0128</t>
  </si>
  <si>
    <t>D0129</t>
  </si>
  <si>
    <t>D0130</t>
  </si>
  <si>
    <t>D0131</t>
  </si>
  <si>
    <t>D0132</t>
  </si>
  <si>
    <t>D0133</t>
  </si>
  <si>
    <t>D0134</t>
  </si>
  <si>
    <t>D0135</t>
  </si>
  <si>
    <t>D0136</t>
  </si>
  <si>
    <t>D0137</t>
  </si>
  <si>
    <t>D0138</t>
  </si>
  <si>
    <t>D0139</t>
  </si>
  <si>
    <t>D0140</t>
  </si>
  <si>
    <t>D0141</t>
  </si>
  <si>
    <t>D0142</t>
  </si>
  <si>
    <t>D0143</t>
  </si>
  <si>
    <t>D0144</t>
  </si>
  <si>
    <t>D0145</t>
  </si>
  <si>
    <t>D0146</t>
  </si>
  <si>
    <t>D0147</t>
  </si>
  <si>
    <t>D0148</t>
  </si>
  <si>
    <t>D0149</t>
  </si>
  <si>
    <t>D0150</t>
  </si>
  <si>
    <t>D0151</t>
  </si>
  <si>
    <t>D0152</t>
  </si>
  <si>
    <t>D0153</t>
  </si>
  <si>
    <t>D0154</t>
  </si>
  <si>
    <t>D0155</t>
  </si>
  <si>
    <t>D0156</t>
  </si>
  <si>
    <t>D0157</t>
  </si>
  <si>
    <t>D0158</t>
  </si>
  <si>
    <t>D0159</t>
  </si>
  <si>
    <t>D0160</t>
  </si>
  <si>
    <t>D0161</t>
  </si>
  <si>
    <t>D0162</t>
  </si>
  <si>
    <t>D0163</t>
  </si>
  <si>
    <t>D0164</t>
  </si>
  <si>
    <t>D0165</t>
  </si>
  <si>
    <t>D0166</t>
  </si>
  <si>
    <t>D0167</t>
  </si>
  <si>
    <t>D0168</t>
  </si>
  <si>
    <t>D0169</t>
  </si>
  <si>
    <t>D0170</t>
  </si>
  <si>
    <t>D0171</t>
  </si>
  <si>
    <t>D0172</t>
  </si>
  <si>
    <t>D0173</t>
  </si>
  <si>
    <t>D0174</t>
  </si>
  <si>
    <t>D0175</t>
  </si>
  <si>
    <t>D0176</t>
  </si>
  <si>
    <t>D0177</t>
  </si>
  <si>
    <t>D0178</t>
  </si>
  <si>
    <t>D0179</t>
  </si>
  <si>
    <t>D0180</t>
  </si>
  <si>
    <t>D0181</t>
  </si>
  <si>
    <t>D0182</t>
  </si>
  <si>
    <t>D0183</t>
  </si>
  <si>
    <t>D0184</t>
  </si>
  <si>
    <t>D0185</t>
  </si>
  <si>
    <t>D0186</t>
  </si>
  <si>
    <t>D0187</t>
  </si>
  <si>
    <t>D0188</t>
  </si>
  <si>
    <t>D0189</t>
  </si>
  <si>
    <t>D0190</t>
  </si>
  <si>
    <t>D0191</t>
  </si>
  <si>
    <t>D0192</t>
  </si>
  <si>
    <t>D0193</t>
  </si>
  <si>
    <t>D0194</t>
  </si>
  <si>
    <t>D0195</t>
  </si>
  <si>
    <t>D0196</t>
  </si>
  <si>
    <t>D0197</t>
  </si>
  <si>
    <t>D0198</t>
  </si>
  <si>
    <t>D0199</t>
  </si>
  <si>
    <t>D0200</t>
  </si>
  <si>
    <t>D0201</t>
  </si>
  <si>
    <t>D0202</t>
  </si>
  <si>
    <t>D0203</t>
  </si>
  <si>
    <t>D0204</t>
  </si>
  <si>
    <t>D0205</t>
  </si>
  <si>
    <t>D0206</t>
  </si>
  <si>
    <t>D0207</t>
  </si>
  <si>
    <t>D0208</t>
  </si>
  <si>
    <t>D0209</t>
  </si>
  <si>
    <t>D0210</t>
  </si>
  <si>
    <t>D0211</t>
  </si>
  <si>
    <t>D0212</t>
  </si>
  <si>
    <t>D0213</t>
  </si>
  <si>
    <t>D0214</t>
  </si>
  <si>
    <t>D0215</t>
  </si>
  <si>
    <t>D0216</t>
  </si>
  <si>
    <t>D0217</t>
  </si>
  <si>
    <t>D0218</t>
  </si>
  <si>
    <t>D0219</t>
  </si>
  <si>
    <t>D0220</t>
  </si>
  <si>
    <t>D0221</t>
  </si>
  <si>
    <t>D0222</t>
  </si>
  <si>
    <t>D0223</t>
  </si>
  <si>
    <t>D0224</t>
  </si>
  <si>
    <t>D0225</t>
  </si>
  <si>
    <t>D0226</t>
  </si>
  <si>
    <t>D0227</t>
  </si>
  <si>
    <t>D0228</t>
  </si>
  <si>
    <t>D0229</t>
  </si>
  <si>
    <t>D0230</t>
  </si>
  <si>
    <t>D0231</t>
  </si>
  <si>
    <t>D0232</t>
  </si>
  <si>
    <t>D0233</t>
  </si>
  <si>
    <t>D0234</t>
  </si>
  <si>
    <t>D0235</t>
  </si>
  <si>
    <t>D0236</t>
  </si>
  <si>
    <t>D0237</t>
  </si>
  <si>
    <t>D0238</t>
  </si>
  <si>
    <t>D0239</t>
  </si>
  <si>
    <t>D0240</t>
  </si>
  <si>
    <t>D0241</t>
  </si>
  <si>
    <t>D0242</t>
  </si>
  <si>
    <t>D0243</t>
  </si>
  <si>
    <t>D0244</t>
  </si>
  <si>
    <t>D0245</t>
  </si>
  <si>
    <t>D0246</t>
  </si>
  <si>
    <t>D0247</t>
  </si>
  <si>
    <t>D0248</t>
  </si>
  <si>
    <t>D0249</t>
  </si>
  <si>
    <t>D0250</t>
  </si>
  <si>
    <t>D0251</t>
  </si>
  <si>
    <t>D0252</t>
  </si>
  <si>
    <t>D0253</t>
  </si>
  <si>
    <t>D0254</t>
  </si>
  <si>
    <t>D0255</t>
  </si>
  <si>
    <t>D0256</t>
  </si>
  <si>
    <t>D0257</t>
  </si>
  <si>
    <t>D0258</t>
  </si>
  <si>
    <t>D0259</t>
  </si>
  <si>
    <t>D0260</t>
  </si>
  <si>
    <t>D0261</t>
  </si>
  <si>
    <t>D0262</t>
  </si>
  <si>
    <t>D0263</t>
  </si>
  <si>
    <t>D0264</t>
  </si>
  <si>
    <t>D0265</t>
  </si>
  <si>
    <t>D0266</t>
  </si>
  <si>
    <t>D0267</t>
  </si>
  <si>
    <t>D0268</t>
  </si>
  <si>
    <t>D0269</t>
  </si>
  <si>
    <t>D0270</t>
  </si>
  <si>
    <t>D0271</t>
  </si>
  <si>
    <t>D0272</t>
  </si>
  <si>
    <t>D0273</t>
  </si>
  <si>
    <t>D0274</t>
  </si>
  <si>
    <t>D0275</t>
  </si>
  <si>
    <t>D0276</t>
  </si>
  <si>
    <t>D0277</t>
  </si>
  <si>
    <t>D0278</t>
  </si>
  <si>
    <t>D0279</t>
  </si>
  <si>
    <t>D0280</t>
  </si>
  <si>
    <t>D0281</t>
  </si>
  <si>
    <t>D0282</t>
  </si>
  <si>
    <t>D0283</t>
  </si>
  <si>
    <t>D0284</t>
  </si>
  <si>
    <t>D0285</t>
  </si>
  <si>
    <t>D0286</t>
  </si>
  <si>
    <t>D0287</t>
  </si>
  <si>
    <t>D0288</t>
  </si>
  <si>
    <t>D0289</t>
  </si>
  <si>
    <t>D0290</t>
  </si>
  <si>
    <t>D0291</t>
  </si>
  <si>
    <t>D0292</t>
  </si>
  <si>
    <t>D0293</t>
  </si>
  <si>
    <t>D0294</t>
  </si>
  <si>
    <t>D0295</t>
  </si>
  <si>
    <t>D0296</t>
  </si>
  <si>
    <t>D0297</t>
  </si>
  <si>
    <t>D0298</t>
  </si>
  <si>
    <t>D0299</t>
  </si>
  <si>
    <t>D0300</t>
  </si>
  <si>
    <t>Plazo (Meses)</t>
  </si>
  <si>
    <t>MontoDepositado</t>
  </si>
  <si>
    <t>FechaVencimiento</t>
  </si>
  <si>
    <t>SaldoActual</t>
  </si>
  <si>
    <t>Ahorro Corriente (sin plazo)</t>
  </si>
  <si>
    <t>FechaApertura</t>
  </si>
  <si>
    <t>Cartera Total</t>
  </si>
  <si>
    <t>Cartera En Mora</t>
  </si>
  <si>
    <t>ROA</t>
  </si>
  <si>
    <t>ROE</t>
  </si>
  <si>
    <t>Tasa de Morosidad</t>
  </si>
  <si>
    <t>Ratio de Liquidez</t>
  </si>
  <si>
    <t>Depósitos Totales</t>
  </si>
  <si>
    <t>Cliente más Moroso</t>
  </si>
  <si>
    <t>Concepto</t>
  </si>
  <si>
    <t>Nombre Completo</t>
  </si>
  <si>
    <t>Cliente menos Moroso</t>
  </si>
  <si>
    <t>Clientes Morosos</t>
  </si>
  <si>
    <t>Indicadores financieros</t>
  </si>
  <si>
    <t>Interés Devengado</t>
  </si>
  <si>
    <t>Interés Pagado</t>
  </si>
  <si>
    <t>Margen financiero (%)</t>
  </si>
  <si>
    <t>Ratio Cobertura Depósitos</t>
  </si>
  <si>
    <t>Ratio de solvencia</t>
  </si>
  <si>
    <t xml:space="preserve">Clientes </t>
  </si>
  <si>
    <t>Gestión de Riesgo y Carteras</t>
  </si>
  <si>
    <t>Créditos al día</t>
  </si>
  <si>
    <t>Créditos En Mora</t>
  </si>
  <si>
    <t>Clientes al Día</t>
  </si>
  <si>
    <t>TieneCreditoEnMora</t>
  </si>
  <si>
    <t>TieneAlgunCredito</t>
  </si>
  <si>
    <t>TiempoEnMora (Días)</t>
  </si>
  <si>
    <t>Plazo real transcurrido</t>
  </si>
  <si>
    <t>Monto</t>
  </si>
  <si>
    <t>Plazo</t>
  </si>
  <si>
    <t>Cuota</t>
  </si>
  <si>
    <t>PLAZO (MESES)</t>
  </si>
  <si>
    <t>Créditos Nuevos necesarios</t>
  </si>
  <si>
    <t>Ingreso Promedio Por CreditoNuevo</t>
  </si>
  <si>
    <t>Utilidad Actual</t>
  </si>
  <si>
    <t>Meta Utilidad</t>
  </si>
  <si>
    <t>Utilidad Proyectada</t>
  </si>
  <si>
    <t>Tasa de Mora supuesta</t>
  </si>
  <si>
    <t>Utilidad con Escenario</t>
  </si>
  <si>
    <t>$I$3</t>
  </si>
  <si>
    <t>$I$4</t>
  </si>
  <si>
    <t>Optimista</t>
  </si>
  <si>
    <t>Creado por Usuario el 10/08/2026</t>
  </si>
  <si>
    <t>Base</t>
  </si>
  <si>
    <t>Pesimista</t>
  </si>
  <si>
    <t>Resumen del escenario</t>
  </si>
  <si>
    <t>Valores actuales:</t>
  </si>
  <si>
    <t>Notas: La columna de valores actuales representa los valores de las celdas cambiantes</t>
  </si>
  <si>
    <t>en el momento en que se creó el Informe resumen de escenario. Las celdas cambiantes de</t>
  </si>
  <si>
    <t>cada escenario se muestran en gris.</t>
  </si>
  <si>
    <t>Tasas de Mora supuestas</t>
  </si>
  <si>
    <t>Etiquetas de fila</t>
  </si>
  <si>
    <t>Total general</t>
  </si>
  <si>
    <t>Suma de MontoDesembolsado</t>
  </si>
  <si>
    <t>2022</t>
  </si>
  <si>
    <t>2023</t>
  </si>
  <si>
    <t>2024</t>
  </si>
  <si>
    <t>2025</t>
  </si>
  <si>
    <t>2026</t>
  </si>
  <si>
    <t>Suma de MontoDepositado</t>
  </si>
  <si>
    <t>Margen Financiero</t>
  </si>
  <si>
    <t>Solvencia</t>
  </si>
  <si>
    <t>En mora</t>
  </si>
  <si>
    <t>Vigente</t>
  </si>
  <si>
    <t>Simulador Escenarios</t>
  </si>
  <si>
    <t>Colocaciones por Agencia</t>
  </si>
  <si>
    <t>Colocaciones por Tipo de Crédito</t>
  </si>
  <si>
    <t>Colocaciones históricas</t>
  </si>
  <si>
    <t>Estado de Colocaciones por Monto</t>
  </si>
  <si>
    <t>Mariana Vargas Ríos</t>
  </si>
  <si>
    <t>Gabriel Martínez Pérez</t>
  </si>
  <si>
    <t>Nicolás Chávez Campos</t>
  </si>
  <si>
    <t>Carolina Vargas Zevallos</t>
  </si>
  <si>
    <t>Sofía Ponce Sánchez</t>
  </si>
  <si>
    <t>Katherine Vega Espinoza</t>
  </si>
  <si>
    <t>Estefanía Herrera Cárdenas</t>
  </si>
  <si>
    <t>Estefanía Paredes Martínez</t>
  </si>
  <si>
    <t>Estefanía Campos Vega</t>
  </si>
  <si>
    <t>Alonso Bravo Cárdenas</t>
  </si>
  <si>
    <t>Luciana Condori Díaz</t>
  </si>
  <si>
    <t>Bruno Cabrera Pérez</t>
  </si>
  <si>
    <t>Rodrigo Paredes Salazar</t>
  </si>
  <si>
    <t>Fernanda Chávez García</t>
  </si>
  <si>
    <t>Cristian Espinoza Condori</t>
  </si>
  <si>
    <t>Adriana Ponce Ríos</t>
  </si>
  <si>
    <t>Isabella Ramos Cárdenas</t>
  </si>
  <si>
    <t>Joaquín Zevallos Gómez</t>
  </si>
  <si>
    <t>Ximena Salazar Fuentes</t>
  </si>
  <si>
    <t>Alonso Pérez Vargas</t>
  </si>
  <si>
    <t>Milagros Espinoza Vargas</t>
  </si>
  <si>
    <t>Ignacio Flores Salazar</t>
  </si>
  <si>
    <t>Adriana Castillo Mendoza</t>
  </si>
  <si>
    <t>Enrique Rodríguez Rodríguez</t>
  </si>
  <si>
    <t>Ignacio Pérez Chávez</t>
  </si>
  <si>
    <t>Patricia Condori García</t>
  </si>
  <si>
    <t>Alessandra Rojas Guerrero</t>
  </si>
  <si>
    <t>Enrique Flores Flores</t>
  </si>
  <si>
    <t>Paula Vargas Ponce</t>
  </si>
  <si>
    <t>Franco Ramos Rodríguez</t>
  </si>
  <si>
    <t>Carolina Torres López</t>
  </si>
  <si>
    <t>Joaquín Carrasco Núñez</t>
  </si>
  <si>
    <t>Alessandra Condori Díaz</t>
  </si>
  <si>
    <t>Sebastián Mendoza Castillo</t>
  </si>
  <si>
    <t>Julia Cruz Condori</t>
  </si>
  <si>
    <t>Milagros Reyes Ponce</t>
  </si>
  <si>
    <t>Isabella Mendoza Guerrero</t>
  </si>
  <si>
    <t>Ximena Torres Vega</t>
  </si>
  <si>
    <t>Karla Guerrero Núñez</t>
  </si>
  <si>
    <t>Mateo Herrera Ponce</t>
  </si>
  <si>
    <t>Isabella Díaz Chávez</t>
  </si>
  <si>
    <t>Franco Guerrero Reyes</t>
  </si>
  <si>
    <t>Rodrigo López Rojas</t>
  </si>
  <si>
    <t>Piero Chávez Sánchez</t>
  </si>
  <si>
    <t>Renata Martínez Carrasco</t>
  </si>
  <si>
    <t>Antonella Mamani Mamani</t>
  </si>
  <si>
    <t>Adriana Rodríguez Reyes</t>
  </si>
  <si>
    <t>Julia Gómez Guerrero</t>
  </si>
  <si>
    <t>Emilio Castillo Torres</t>
  </si>
  <si>
    <t>Pamela Reyes Guerrero</t>
  </si>
  <si>
    <t>Daniela Martínez Vega</t>
  </si>
  <si>
    <t>Gianella Cruz Mendoza</t>
  </si>
  <si>
    <t>Diego Medina Quispe</t>
  </si>
  <si>
    <t>Joaquín Ríos Campos</t>
  </si>
  <si>
    <t>Milagros Vargas Fuentes</t>
  </si>
  <si>
    <t>Melissa Vargas Martínez</t>
  </si>
  <si>
    <t>Katherine Chávez Pérez</t>
  </si>
  <si>
    <t>Gianella López Rodríguez</t>
  </si>
  <si>
    <t>Adriana Sánchez Núñez</t>
  </si>
  <si>
    <t>Hugo Reyes Mendoza</t>
  </si>
  <si>
    <t>Alessandra Huamán Martínez</t>
  </si>
  <si>
    <t>Pamela Mamani Condori</t>
  </si>
  <si>
    <t>Sofía Ramos Cabrera</t>
  </si>
  <si>
    <t>Diego Medina Rodríguez</t>
  </si>
  <si>
    <t>Gabriel Ramos Sánchez</t>
  </si>
  <si>
    <t>Franco Núñez Quispe</t>
  </si>
  <si>
    <t>Valentina Cabrera Cárdenas</t>
  </si>
  <si>
    <t>Nicolás Herrera García</t>
  </si>
  <si>
    <t>Ximena Espinoza Sánchez</t>
  </si>
  <si>
    <t>Hugo López Quispe</t>
  </si>
  <si>
    <t>Martín Núñez Cruz</t>
  </si>
  <si>
    <t>Gianella Ramos Pérez</t>
  </si>
  <si>
    <t>Cesar Ponce Torres</t>
  </si>
  <si>
    <t>Ximena Ríos Mendoza</t>
  </si>
  <si>
    <t>Luciana Sánchez Ramos</t>
  </si>
  <si>
    <t>Renata Ponce Castillo</t>
  </si>
  <si>
    <t>Ximena Bravo Castillo</t>
  </si>
  <si>
    <t>Victor López Cabrera</t>
  </si>
  <si>
    <t>Patricia Mendoza Aguilar</t>
  </si>
  <si>
    <t>Martín Medina Campos</t>
  </si>
  <si>
    <t>Fernanda Vargas Vargas</t>
  </si>
  <si>
    <t>Marco Torres Chávez</t>
  </si>
  <si>
    <t>Jorge Guerrero Díaz</t>
  </si>
  <si>
    <t>Marco Fuentes García</t>
  </si>
  <si>
    <t>Milagros Mendoza Ponce</t>
  </si>
  <si>
    <t>Estefanía Paredes Pérez</t>
  </si>
  <si>
    <t>Iván Herrera Paredes</t>
  </si>
  <si>
    <t>Antonella Mamani Castillo</t>
  </si>
  <si>
    <t>Fabrizio Chávez Cabrera</t>
  </si>
  <si>
    <t>Mateo Fuentes Vargas</t>
  </si>
  <si>
    <t>Enrique Díaz Pérez</t>
  </si>
  <si>
    <t>Enrique Aguilar Espinoza</t>
  </si>
  <si>
    <t>Paula Paredes Díaz</t>
  </si>
  <si>
    <t>Karla Medina Castillo</t>
  </si>
  <si>
    <t>Carolina Mendoza Ríos</t>
  </si>
  <si>
    <t>Pamela Sánchez Fuentes</t>
  </si>
  <si>
    <t>Alonso García Fuentes</t>
  </si>
  <si>
    <t>Alessandra Vega Aguilar</t>
  </si>
  <si>
    <t>Valentina Mamani Vargas</t>
  </si>
  <si>
    <t>Diego Núñez Castillo</t>
  </si>
  <si>
    <t>Cristian Cruz Flores</t>
  </si>
  <si>
    <t>Carolina Cabrera Cárdenas</t>
  </si>
  <si>
    <t>Daniela Quispe Bravo</t>
  </si>
  <si>
    <t>Fabrizio Mendoza Mendoza</t>
  </si>
  <si>
    <t>Ximena Mendoza Núñez</t>
  </si>
  <si>
    <t>Valentina Medina Chávez</t>
  </si>
  <si>
    <t>Sebastián Castillo Fuentes</t>
  </si>
  <si>
    <t>Piero Reyes García</t>
  </si>
  <si>
    <t>Gabriel Reyes Martínez</t>
  </si>
  <si>
    <t>Rosa Mamani Sánchez</t>
  </si>
  <si>
    <t>Marco Ríos Ponce</t>
  </si>
  <si>
    <t>Daniela Mamani Paredes</t>
  </si>
  <si>
    <t>Silvia Espinoza Castillo</t>
  </si>
  <si>
    <t>Nicolás Pérez Ríos</t>
  </si>
  <si>
    <t>Gianella Vargas Ríos</t>
  </si>
  <si>
    <t>Luciana Carrasco Flores</t>
  </si>
  <si>
    <t>Cesar Medina Cruz</t>
  </si>
  <si>
    <t>Hugo Castillo Medina</t>
  </si>
  <si>
    <t>Nicolás Vargas Mendoza</t>
  </si>
  <si>
    <t>Piero Vega Ponce</t>
  </si>
  <si>
    <t>Andrea Espinoza Cárdenas</t>
  </si>
  <si>
    <t>Julia Condori Vega</t>
  </si>
  <si>
    <t>Paula Guerrero Espinoza</t>
  </si>
  <si>
    <t>Enrique Cruz Núñez</t>
  </si>
  <si>
    <t>Rosa Díaz Castillo</t>
  </si>
  <si>
    <t>Rosa Reyes Flores</t>
  </si>
  <si>
    <t>Cesar Medina Ramos</t>
  </si>
  <si>
    <t>Antonella Rojas Ríos</t>
  </si>
  <si>
    <t>Lucía Carrasco López</t>
  </si>
  <si>
    <t>Jorge Ríos Espinoza</t>
  </si>
  <si>
    <t>Julia Chávez Rojas</t>
  </si>
  <si>
    <t>Silvia Campos Cruz</t>
  </si>
  <si>
    <t>Jorge Guerrero Paredes</t>
  </si>
  <si>
    <t>Sebastián García Bravo</t>
  </si>
  <si>
    <t>Alonso Campos Torres</t>
  </si>
  <si>
    <t>Adriana Mendoza Vargas</t>
  </si>
  <si>
    <t>Valentina López Ponce</t>
  </si>
  <si>
    <t>Patricia García Martínez</t>
  </si>
  <si>
    <t>Valentina Condori Ponce</t>
  </si>
  <si>
    <t>Alonso Sánchez Mamani</t>
  </si>
  <si>
    <t>Pamela Vega Pérez</t>
  </si>
  <si>
    <t>Melissa Martínez Díaz</t>
  </si>
  <si>
    <t>Melissa Ramos Pérez</t>
  </si>
  <si>
    <t>Antonella Aguilar Herrera</t>
  </si>
  <si>
    <t>Martín Chávez Bravo</t>
  </si>
  <si>
    <t>Mateo Díaz Gómez</t>
  </si>
  <si>
    <t>Renata Martínez Sánchez</t>
  </si>
  <si>
    <t>Sofía Mendoza Ramos</t>
  </si>
  <si>
    <t>Renata Gómez Ramos</t>
  </si>
  <si>
    <t>Daniela López Espinoza</t>
  </si>
  <si>
    <t>Milagros Gómez Salazar</t>
  </si>
  <si>
    <t>Martín García Carrasco</t>
  </si>
  <si>
    <t>Sofía Cabrera Rojas</t>
  </si>
  <si>
    <t>Franco Ramos Chávez</t>
  </si>
  <si>
    <t>Mariana Salazar Gómez</t>
  </si>
  <si>
    <t>Gabriel Mamani Reyes</t>
  </si>
  <si>
    <t>Cristian Fuentes Fuentes</t>
  </si>
  <si>
    <t>Gianella Cruz Flores</t>
  </si>
  <si>
    <t>Santiago Mendoza Núñez</t>
  </si>
  <si>
    <t>Piero Carrasco Salazar</t>
  </si>
  <si>
    <t>Aldo Gómez Castillo</t>
  </si>
  <si>
    <t>Antonella Gómez Gómez</t>
  </si>
  <si>
    <t>Hugo Guerrero Chávez</t>
  </si>
  <si>
    <t>Pamela Mendoza Guerrero</t>
  </si>
  <si>
    <t>Fabrizio Díaz Vega</t>
  </si>
  <si>
    <t>Karla Flores Reyes</t>
  </si>
  <si>
    <t>Mariana García Aguilar</t>
  </si>
  <si>
    <t>Gabriel Flores Castillo</t>
  </si>
  <si>
    <t>Mateo Espinoza Carrasco</t>
  </si>
  <si>
    <t>Ricardo Díaz Condori</t>
  </si>
  <si>
    <t>Isabella Paredes Paredes</t>
  </si>
  <si>
    <t>Pamela Ríos Carrasco</t>
  </si>
  <si>
    <t>Antonella Medina Ponce</t>
  </si>
  <si>
    <t>Daniela Ponce Torres</t>
  </si>
  <si>
    <t>Ximena Guerrero Rojas</t>
  </si>
  <si>
    <t>Alonso Cruz Medina</t>
  </si>
  <si>
    <t>Hugo Aguilar López</t>
  </si>
  <si>
    <t>Valentina Ramos Sánchez</t>
  </si>
  <si>
    <t>Lucía Cárdenas Salazar</t>
  </si>
  <si>
    <t>Patricia Ponce Mamani</t>
  </si>
  <si>
    <t>Nicolás Reyes Paredes</t>
  </si>
  <si>
    <t>Iván Cabrera Mendoza</t>
  </si>
  <si>
    <t>Iván Bravo Cabrera</t>
  </si>
  <si>
    <t>Isabella Rojas Espinoza</t>
  </si>
  <si>
    <t>Alessandra Cabrera Vargas</t>
  </si>
  <si>
    <t>Ignacio Herrera Medina</t>
  </si>
  <si>
    <t>Martín Reyes Ponce</t>
  </si>
  <si>
    <t>Rodrigo Núñez Salazar</t>
  </si>
  <si>
    <t>Renata Campos Pérez</t>
  </si>
  <si>
    <t>Sofía García Martínez</t>
  </si>
  <si>
    <t>Claudia Fuentes Pérez</t>
  </si>
  <si>
    <t>Fabrizio Martínez Paredes</t>
  </si>
  <si>
    <t>Gianella Reyes Mamani</t>
  </si>
  <si>
    <t>Álvaro Carrasco Martínez</t>
  </si>
  <si>
    <t>Valentina Aguilar Fuentes</t>
  </si>
  <si>
    <t>Alessandra Ramos Vargas</t>
  </si>
  <si>
    <t>Silvia Díaz Torres</t>
  </si>
  <si>
    <t>Ignacio Vargas Pérez</t>
  </si>
  <si>
    <t>Sebastián García Condori</t>
  </si>
  <si>
    <t>Ignacio Bravo Cárdenas</t>
  </si>
  <si>
    <t>Adriana Paredes Medina</t>
  </si>
  <si>
    <t>Rosa Fuentes Herrera</t>
  </si>
  <si>
    <t>Martín Mendoza Aguilar</t>
  </si>
  <si>
    <t>Valentina Cruz Reyes</t>
  </si>
  <si>
    <t>Joaquín Quispe Ponce</t>
  </si>
  <si>
    <t>Marco Chávez Mamani</t>
  </si>
  <si>
    <t>Victor García Aguilar</t>
  </si>
  <si>
    <t>Katherine Carrasco Reyes</t>
  </si>
  <si>
    <t>Antonella Pérez Rojas</t>
  </si>
  <si>
    <t>Camila Cabrera Espinoza</t>
  </si>
  <si>
    <t>Piero Rodríguez Salazar</t>
  </si>
  <si>
    <t>Lucía Quispe Guerrero</t>
  </si>
  <si>
    <t>Antonella Rojas Aguilar</t>
  </si>
  <si>
    <t>Silvia Fuentes Ríos</t>
  </si>
  <si>
    <t>Julia Flores Espinoza</t>
  </si>
  <si>
    <t>Patricia Rodríguez López</t>
  </si>
  <si>
    <t>Claudia Mamani Campos</t>
  </si>
  <si>
    <t>Ximena Aguilar Díaz</t>
  </si>
  <si>
    <t>Patricia García Vega</t>
  </si>
  <si>
    <t>Lucía Cárdenas Gómez</t>
  </si>
  <si>
    <t>Alessandra Díaz Espinoza</t>
  </si>
  <si>
    <t>Raúl Vargas Cárdenas</t>
  </si>
  <si>
    <t>Rodrigo Bravo Huamán</t>
  </si>
  <si>
    <t>Nicolás Vargas Núñez</t>
  </si>
  <si>
    <t>Ignacio Guerrero Reyes</t>
  </si>
  <si>
    <t>Yolanda Huamán Vargas</t>
  </si>
  <si>
    <t>Valentina Carrasco Huamán</t>
  </si>
  <si>
    <t>Fabrizio Torres Rojas</t>
  </si>
  <si>
    <t>Enrique Cabrera Quispe</t>
  </si>
  <si>
    <t>Isabella Carrasco Paredes</t>
  </si>
  <si>
    <t>Yolanda Cabrera Pérez</t>
  </si>
  <si>
    <t>Fabrizio Bravo Espinoza</t>
  </si>
  <si>
    <t>Isabella Díaz Salazar</t>
  </si>
  <si>
    <t>Silvia Gómez Cabrera</t>
  </si>
  <si>
    <t>Fernanda Condori Rojas</t>
  </si>
  <si>
    <t>Pamela Castillo Reyes</t>
  </si>
  <si>
    <t>Karla Rojas Martínez</t>
  </si>
  <si>
    <t>Nicolás Ríos Torres</t>
  </si>
  <si>
    <t>Franco Rodríguez Aguilar</t>
  </si>
  <si>
    <t>Emilio Ríos Mendoza</t>
  </si>
  <si>
    <t>Milagros Vargas Salazar</t>
  </si>
  <si>
    <t>Fabrizio Sánchez Cruz</t>
  </si>
  <si>
    <t>Bruno Vega Martínez</t>
  </si>
  <si>
    <t>Sofía Reyes Díaz</t>
  </si>
  <si>
    <t>Paula Flores Díaz</t>
  </si>
  <si>
    <t>Renata Huamán Paredes</t>
  </si>
  <si>
    <t>Iván Bravo Chávez</t>
  </si>
  <si>
    <t>Franco Mamani Rodríguez</t>
  </si>
  <si>
    <t>Paula Flores Mendoza</t>
  </si>
  <si>
    <t>Lucía Rodríguez Flores</t>
  </si>
  <si>
    <t>Suma de Saldo Pendiente</t>
  </si>
  <si>
    <t>TieneAlgunDeposito</t>
  </si>
  <si>
    <t>Meta Proyectada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</si>
</sst>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S/&quot;\ #,##0.00;[Red]\-&quot;S/&quot;\ #,##0.00"/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0.0%"/>
    <numFmt numFmtId="165" formatCode="&quot;S/&quot;\ #,##0"/>
    <numFmt numFmtId="166" formatCode="dd/mm/yyyy"/>
    <numFmt numFmtId="167" formatCode="_-* #,##0.0000_-;\-* #,##0.0000_-;_-* &quot;-&quot;??_-;_-@_-"/>
    <numFmt numFmtId="168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DLaM Display"/>
    </font>
    <font>
      <sz val="11"/>
      <color theme="1"/>
      <name val="Abad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badi"/>
      <family val="2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</fonts>
  <fills count="16">
    <fill>
      <patternFill patternType="none"/>
    </fill>
    <fill>
      <patternFill patternType="gray125"/>
    </fill>
    <fill>
      <patternFill patternType="solid">
        <fgColor rgb="FF7B2D26"/>
        <bgColor rgb="FF7B2D26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7B7B7"/>
      </left>
      <right style="thin">
        <color rgb="FFB7B7B7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7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164" fontId="2" fillId="0" borderId="1" xfId="0" applyNumberFormat="1" applyFont="1" applyBorder="1"/>
    <xf numFmtId="165" fontId="2" fillId="0" borderId="1" xfId="0" applyNumberFormat="1" applyFont="1" applyBorder="1"/>
    <xf numFmtId="166" fontId="2" fillId="0" borderId="1" xfId="0" applyNumberFormat="1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0" fontId="0" fillId="0" borderId="0" xfId="2" applyNumberFormat="1" applyFont="1"/>
    <xf numFmtId="44" fontId="0" fillId="0" borderId="0" xfId="1" applyFont="1"/>
    <xf numFmtId="8" fontId="0" fillId="0" borderId="0" xfId="0" applyNumberFormat="1"/>
    <xf numFmtId="44" fontId="0" fillId="0" borderId="0" xfId="1" applyFont="1" applyAlignment="1">
      <alignment horizontal="center" vertical="center"/>
    </xf>
    <xf numFmtId="0" fontId="6" fillId="0" borderId="2" xfId="0" applyFont="1" applyBorder="1"/>
    <xf numFmtId="44" fontId="6" fillId="0" borderId="2" xfId="1" applyFont="1" applyBorder="1"/>
    <xf numFmtId="167" fontId="6" fillId="0" borderId="2" xfId="3" applyNumberFormat="1" applyFont="1" applyBorder="1"/>
    <xf numFmtId="10" fontId="6" fillId="0" borderId="2" xfId="2" applyNumberFormat="1" applyFont="1" applyBorder="1"/>
    <xf numFmtId="0" fontId="1" fillId="2" borderId="3" xfId="0" applyFont="1" applyFill="1" applyBorder="1" applyAlignment="1">
      <alignment horizontal="center" vertical="center"/>
    </xf>
    <xf numFmtId="0" fontId="9" fillId="0" borderId="2" xfId="0" applyFont="1" applyBorder="1"/>
    <xf numFmtId="8" fontId="9" fillId="0" borderId="2" xfId="0" applyNumberFormat="1" applyFont="1" applyBorder="1"/>
    <xf numFmtId="0" fontId="9" fillId="0" borderId="2" xfId="0" applyFont="1" applyBorder="1" applyAlignment="1">
      <alignment horizontal="right" vertical="center"/>
    </xf>
    <xf numFmtId="9" fontId="9" fillId="0" borderId="2" xfId="0" applyNumberFormat="1" applyFont="1" applyBorder="1" applyAlignment="1">
      <alignment horizontal="right" vertical="center"/>
    </xf>
    <xf numFmtId="44" fontId="9" fillId="0" borderId="2" xfId="1" applyFont="1" applyBorder="1"/>
    <xf numFmtId="10" fontId="9" fillId="0" borderId="2" xfId="0" applyNumberFormat="1" applyFont="1" applyBorder="1"/>
    <xf numFmtId="0" fontId="9" fillId="6" borderId="2" xfId="0" applyFont="1" applyFill="1" applyBorder="1"/>
    <xf numFmtId="0" fontId="9" fillId="5" borderId="2" xfId="0" applyFont="1" applyFill="1" applyBorder="1"/>
    <xf numFmtId="0" fontId="9" fillId="7" borderId="2" xfId="0" applyFont="1" applyFill="1" applyBorder="1"/>
    <xf numFmtId="10" fontId="0" fillId="0" borderId="0" xfId="0" applyNumberFormat="1"/>
    <xf numFmtId="8" fontId="0" fillId="0" borderId="7" xfId="0" applyNumberFormat="1" applyBorder="1"/>
    <xf numFmtId="0" fontId="10" fillId="8" borderId="8" xfId="0" applyFont="1" applyFill="1" applyBorder="1" applyAlignment="1">
      <alignment horizontal="left"/>
    </xf>
    <xf numFmtId="0" fontId="10" fillId="8" borderId="6" xfId="0" applyFont="1" applyFill="1" applyBorder="1" applyAlignment="1">
      <alignment horizontal="left"/>
    </xf>
    <xf numFmtId="0" fontId="0" fillId="0" borderId="9" xfId="0" applyBorder="1"/>
    <xf numFmtId="0" fontId="11" fillId="9" borderId="0" xfId="0" applyFont="1" applyFill="1" applyAlignment="1">
      <alignment horizontal="left"/>
    </xf>
    <xf numFmtId="0" fontId="12" fillId="9" borderId="9" xfId="0" applyFont="1" applyFill="1" applyBorder="1" applyAlignment="1">
      <alignment horizontal="left"/>
    </xf>
    <xf numFmtId="0" fontId="11" fillId="9" borderId="7" xfId="0" applyFont="1" applyFill="1" applyBorder="1" applyAlignment="1">
      <alignment horizontal="left"/>
    </xf>
    <xf numFmtId="0" fontId="13" fillId="8" borderId="6" xfId="0" applyFont="1" applyFill="1" applyBorder="1" applyAlignment="1">
      <alignment horizontal="right"/>
    </xf>
    <xf numFmtId="0" fontId="13" fillId="8" borderId="8" xfId="0" applyFont="1" applyFill="1" applyBorder="1" applyAlignment="1">
      <alignment horizontal="right"/>
    </xf>
    <xf numFmtId="10" fontId="0" fillId="10" borderId="0" xfId="0" applyNumberFormat="1" applyFill="1"/>
    <xf numFmtId="0" fontId="14" fillId="0" borderId="0" xfId="0" applyFont="1" applyAlignment="1">
      <alignment vertical="top" wrapText="1"/>
    </xf>
    <xf numFmtId="8" fontId="9" fillId="11" borderId="2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15" fillId="5" borderId="10" xfId="0" applyFont="1" applyFill="1" applyBorder="1"/>
    <xf numFmtId="44" fontId="15" fillId="5" borderId="10" xfId="0" applyNumberFormat="1" applyFont="1" applyFill="1" applyBorder="1"/>
    <xf numFmtId="0" fontId="15" fillId="12" borderId="10" xfId="0" applyFont="1" applyFill="1" applyBorder="1"/>
    <xf numFmtId="10" fontId="15" fillId="12" borderId="10" xfId="2" applyNumberFormat="1" applyFont="1" applyFill="1" applyBorder="1"/>
    <xf numFmtId="0" fontId="15" fillId="13" borderId="10" xfId="0" applyFont="1" applyFill="1" applyBorder="1"/>
    <xf numFmtId="168" fontId="15" fillId="13" borderId="10" xfId="0" applyNumberFormat="1" applyFont="1" applyFill="1" applyBorder="1"/>
    <xf numFmtId="0" fontId="15" fillId="14" borderId="10" xfId="0" applyFont="1" applyFill="1" applyBorder="1"/>
    <xf numFmtId="168" fontId="15" fillId="14" borderId="10" xfId="0" applyNumberFormat="1" applyFont="1" applyFill="1" applyBorder="1"/>
    <xf numFmtId="0" fontId="15" fillId="7" borderId="10" xfId="0" applyFont="1" applyFill="1" applyBorder="1"/>
    <xf numFmtId="10" fontId="15" fillId="7" borderId="10" xfId="0" applyNumberFormat="1" applyFont="1" applyFill="1" applyBorder="1"/>
    <xf numFmtId="0" fontId="0" fillId="15" borderId="0" xfId="0" applyFill="1"/>
    <xf numFmtId="0" fontId="0" fillId="15" borderId="0" xfId="0" applyFill="1" applyAlignment="1">
      <alignment horizontal="left"/>
    </xf>
    <xf numFmtId="0" fontId="9" fillId="15" borderId="0" xfId="0" applyFont="1" applyFill="1"/>
    <xf numFmtId="0" fontId="9" fillId="7" borderId="11" xfId="0" applyFont="1" applyFill="1" applyBorder="1"/>
    <xf numFmtId="10" fontId="9" fillId="0" borderId="11" xfId="2" applyNumberFormat="1" applyFont="1" applyBorder="1"/>
    <xf numFmtId="0" fontId="1" fillId="2" borderId="12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16" fillId="15" borderId="0" xfId="0" applyFont="1" applyFill="1" applyAlignment="1">
      <alignment horizontal="center"/>
    </xf>
    <xf numFmtId="0" fontId="9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40"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S/&quot;\ * #,##0.00_-;\-&quot;S/&quot;\ * #,##0.00_-;_-&quot;S/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9" formatCode="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S/&quot;\ * #,##0.00_-;\-&quot;S/&quot;\ * #,##0.00_-;_-&quot;S/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2" formatCode="&quot;S/&quot;\ #,##0.00;[Red]\-&quot;S/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/mm/yyyy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dd/mm/yyyy"/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B7B7B7"/>
        </left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B7B7B7"/>
        </right>
        <top style="thin">
          <color rgb="FFB7B7B7"/>
        </top>
        <bottom style="thin">
          <color rgb="FFB7B7B7"/>
        </bottom>
        <vertical/>
        <horizontal/>
      </border>
    </dxf>
    <dxf>
      <border outline="0">
        <left style="thin">
          <color rgb="FFB7B7B7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rgb="FF7B2D26"/>
          <bgColor rgb="FF7B2D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7B7B7"/>
        </left>
        <right style="thin">
          <color rgb="FFB7B7B7"/>
        </right>
        <top/>
        <bottom/>
      </border>
    </dxf>
  </dxfs>
  <tableStyles count="0" defaultTableStyle="TableStyleMedium9" defaultPivotStyle="PivotStyleLight16"/>
  <colors>
    <mruColors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Creditos!TablaDinámica9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85000"/>
                    <a:lumOff val="15000"/>
                  </a:schemeClr>
                </a:solidFill>
              </a:rPr>
              <a:t>Estado de Carteras</a:t>
            </a:r>
            <a:r>
              <a:rPr lang="en-US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Actuales</a:t>
            </a:r>
            <a:endParaRPr lang="en-US" b="1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1.0923617991459677E-2"/>
              <c:y val="-2.5965326004565087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DCBE987-57E8-491D-8219-50E02A8E857F}" type="PERCENTAGE">
                  <a:rPr lang="en-US" sz="1100" b="1"/>
                  <a:pPr>
                    <a:defRPr/>
                  </a:pPr>
                  <a:t>[PORCENTAJE]</a:t>
                </a:fld>
                <a:endParaRPr lang="es-PE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10812477910459868"/>
              <c:y val="-2.539207060084686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32CC804-6F07-44EE-BD35-FB13B3B3022F}" type="PERCENTAGE">
                  <a:rPr lang="en-US" sz="1100" b="1"/>
                  <a:pPr>
                    <a:defRPr/>
                  </a:pPr>
                  <a:t>[PORCENTAJE]</a:t>
                </a:fld>
                <a:endParaRPr lang="es-PE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0"/>
        <c:ser>
          <c:idx val="0"/>
          <c:order val="0"/>
          <c:tx>
            <c:strRef>
              <c:f>'TD Creditos'!$G$16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dPt>
            <c:idx val="0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0F9-4818-8C10-F1A26214FCA1}"/>
              </c:ext>
            </c:extLst>
          </c:dPt>
          <c:dPt>
            <c:idx val="1"/>
            <c:bubble3D val="0"/>
            <c:explosion val="1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0F9-4818-8C10-F1A26214FCA1}"/>
              </c:ext>
            </c:extLst>
          </c:dPt>
          <c:dLbls>
            <c:dLbl>
              <c:idx val="0"/>
              <c:layout>
                <c:manualLayout>
                  <c:x val="1.0923617991459677E-2"/>
                  <c:y val="-2.5965326004565087E-3"/>
                </c:manualLayout>
              </c:layout>
              <c:tx>
                <c:rich>
                  <a:bodyPr/>
                  <a:lstStyle/>
                  <a:p>
                    <a:fld id="{CDCBE987-57E8-491D-8219-50E02A8E857F}" type="PERCENTAGE">
                      <a:rPr lang="en-US" sz="1100" b="1"/>
                      <a:pPr/>
                      <a:t>[PORCENTAJE]</a:t>
                    </a:fld>
                    <a:endParaRPr lang="es-PE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0F9-4818-8C10-F1A26214FCA1}"/>
                </c:ext>
              </c:extLst>
            </c:dLbl>
            <c:dLbl>
              <c:idx val="1"/>
              <c:layout>
                <c:manualLayout>
                  <c:x val="-0.10812477910459868"/>
                  <c:y val="-2.5392070600846868E-2"/>
                </c:manualLayout>
              </c:layout>
              <c:tx>
                <c:rich>
                  <a:bodyPr/>
                  <a:lstStyle/>
                  <a:p>
                    <a:fld id="{232CC804-6F07-44EE-BD35-FB13B3B3022F}" type="PERCENTAGE">
                      <a:rPr lang="en-US" sz="1100" b="1"/>
                      <a:pPr/>
                      <a:t>[PORCENTAJE]</a:t>
                    </a:fld>
                    <a:endParaRPr lang="es-PE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0F9-4818-8C10-F1A26214FC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'TD Creditos'!$F$17:$F$19</c:f>
              <c:strCache>
                <c:ptCount val="2"/>
                <c:pt idx="0">
                  <c:v>En mora</c:v>
                </c:pt>
                <c:pt idx="1">
                  <c:v>Vigente</c:v>
                </c:pt>
              </c:strCache>
            </c:strRef>
          </c:cat>
          <c:val>
            <c:numRef>
              <c:f>'TD Creditos'!$G$17:$G$19</c:f>
              <c:numCache>
                <c:formatCode>_("S/"* #,##0.00_);_("S/"* \(#,##0.00\);_("S/"* "-"??_);_(@_)</c:formatCode>
                <c:ptCount val="2"/>
                <c:pt idx="0">
                  <c:v>3436832</c:v>
                </c:pt>
                <c:pt idx="1">
                  <c:v>18060706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F9-4818-8C10-F1A26214F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94444444444446"/>
          <c:y val="0.39256889763779529"/>
          <c:w val="0.1763888888888889"/>
          <c:h val="0.228147054534849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Creditos!TablaDinámica2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85000"/>
                    <a:lumOff val="15000"/>
                  </a:schemeClr>
                </a:solidFill>
              </a:rPr>
              <a:t>Colocaciones</a:t>
            </a:r>
            <a:r>
              <a:rPr lang="en-US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Crédito por Agencia</a:t>
            </a:r>
            <a:endParaRPr lang="en-US" b="1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layout>
        <c:manualLayout>
          <c:xMode val="edge"/>
          <c:yMode val="edge"/>
          <c:x val="0.33244832638516703"/>
          <c:y val="0.12860892388451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'TD Creditos'!$C$3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Creditos'!$B$4:$B$12</c:f>
              <c:strCache>
                <c:ptCount val="8"/>
                <c:pt idx="0">
                  <c:v>AG01</c:v>
                </c:pt>
                <c:pt idx="1">
                  <c:v>AG02</c:v>
                </c:pt>
                <c:pt idx="2">
                  <c:v>AG03</c:v>
                </c:pt>
                <c:pt idx="3">
                  <c:v>AG04</c:v>
                </c:pt>
                <c:pt idx="4">
                  <c:v>AG05</c:v>
                </c:pt>
                <c:pt idx="5">
                  <c:v>AG06</c:v>
                </c:pt>
                <c:pt idx="6">
                  <c:v>AG07</c:v>
                </c:pt>
                <c:pt idx="7">
                  <c:v>AG08</c:v>
                </c:pt>
              </c:strCache>
            </c:strRef>
          </c:cat>
          <c:val>
            <c:numRef>
              <c:f>'TD Creditos'!$C$4:$C$12</c:f>
              <c:numCache>
                <c:formatCode>_("S/"* #,##0.00_);_("S/"* \(#,##0.00\);_("S/"* "-"??_);_(@_)</c:formatCode>
                <c:ptCount val="8"/>
                <c:pt idx="0">
                  <c:v>1340644</c:v>
                </c:pt>
                <c:pt idx="1">
                  <c:v>1753487</c:v>
                </c:pt>
                <c:pt idx="2">
                  <c:v>4220642</c:v>
                </c:pt>
                <c:pt idx="3">
                  <c:v>2691443</c:v>
                </c:pt>
                <c:pt idx="4">
                  <c:v>4286760</c:v>
                </c:pt>
                <c:pt idx="5">
                  <c:v>3715327</c:v>
                </c:pt>
                <c:pt idx="6">
                  <c:v>2199305</c:v>
                </c:pt>
                <c:pt idx="7">
                  <c:v>2649443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D-41ED-86B9-43E706F17F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81650239"/>
        <c:axId val="1787661807"/>
        <c:axId val="0"/>
      </c:bar3DChart>
      <c:catAx>
        <c:axId val="58165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87661807"/>
        <c:crosses val="autoZero"/>
        <c:auto val="1"/>
        <c:lblAlgn val="ctr"/>
        <c:lblOffset val="100"/>
        <c:noMultiLvlLbl val="0"/>
      </c:catAx>
      <c:valAx>
        <c:axId val="1787661807"/>
        <c:scaling>
          <c:orientation val="minMax"/>
        </c:scaling>
        <c:delete val="1"/>
        <c:axPos val="b"/>
        <c:numFmt formatCode="_(&quot;S/&quot;* #,##0.00_);_(&quot;S/&quot;* \(#,##0.00\);_(&quot;S/&quot;* &quot;-&quot;??_);_(@_)" sourceLinked="1"/>
        <c:majorTickMark val="none"/>
        <c:minorTickMark val="none"/>
        <c:tickLblPos val="nextTo"/>
        <c:crossAx val="58165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09772420157176"/>
          <c:y val="0.19963983668708077"/>
          <c:w val="6.7382931548729486E-2"/>
          <c:h val="8.15977690288713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Creditos!TablaDinámica3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>
                    <a:lumMod val="85000"/>
                    <a:lumOff val="15000"/>
                  </a:schemeClr>
                </a:solidFill>
              </a:rPr>
              <a:t>Colocaciones por Tipo de Credito</a:t>
            </a:r>
          </a:p>
        </c:rich>
      </c:tx>
      <c:layout>
        <c:manualLayout>
          <c:xMode val="edge"/>
          <c:yMode val="edge"/>
          <c:x val="0.29439405096437382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'TD Creditos'!$G$3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Creditos'!$F$4:$F$9</c:f>
              <c:strCache>
                <c:ptCount val="5"/>
                <c:pt idx="0">
                  <c:v>TC01</c:v>
                </c:pt>
                <c:pt idx="1">
                  <c:v>TC02</c:v>
                </c:pt>
                <c:pt idx="2">
                  <c:v>TC03</c:v>
                </c:pt>
                <c:pt idx="3">
                  <c:v>TC04</c:v>
                </c:pt>
                <c:pt idx="4">
                  <c:v>TC05</c:v>
                </c:pt>
              </c:strCache>
            </c:strRef>
          </c:cat>
          <c:val>
            <c:numRef>
              <c:f>'TD Creditos'!$G$4:$G$9</c:f>
              <c:numCache>
                <c:formatCode>_("S/"* #,##0.00_);_("S/"* \(#,##0.00\);_("S/"* "-"??_);_(@_)</c:formatCode>
                <c:ptCount val="5"/>
                <c:pt idx="0">
                  <c:v>491586</c:v>
                </c:pt>
                <c:pt idx="1">
                  <c:v>2265259</c:v>
                </c:pt>
                <c:pt idx="2">
                  <c:v>4160667</c:v>
                </c:pt>
                <c:pt idx="3">
                  <c:v>15158306</c:v>
                </c:pt>
                <c:pt idx="4">
                  <c:v>781233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D4-4222-9E8D-04BC345B21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30525295"/>
        <c:axId val="1787692047"/>
        <c:axId val="0"/>
      </c:bar3DChart>
      <c:catAx>
        <c:axId val="73052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87692047"/>
        <c:crosses val="autoZero"/>
        <c:auto val="1"/>
        <c:lblAlgn val="ctr"/>
        <c:lblOffset val="100"/>
        <c:noMultiLvlLbl val="0"/>
      </c:catAx>
      <c:valAx>
        <c:axId val="1787692047"/>
        <c:scaling>
          <c:orientation val="minMax"/>
        </c:scaling>
        <c:delete val="1"/>
        <c:axPos val="b"/>
        <c:numFmt formatCode="_(&quot;S/&quot;* #,##0.00_);_(&quot;S/&quot;* \(#,##0.00\);_(&quot;S/&quot;* &quot;-&quot;??_);_(@_)" sourceLinked="1"/>
        <c:majorTickMark val="none"/>
        <c:minorTickMark val="none"/>
        <c:tickLblPos val="nextTo"/>
        <c:crossAx val="730525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893318164202228"/>
          <c:y val="0.20394563443043728"/>
          <c:w val="9.9007891060163764E-2"/>
          <c:h val="8.7143985601556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  <a:alpha val="98000"/>
      </a:schemeClr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Depositos!TablaDinámica5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>
                <a:solidFill>
                  <a:schemeClr val="tx1">
                    <a:lumMod val="85000"/>
                    <a:lumOff val="15000"/>
                  </a:schemeClr>
                </a:solidFill>
              </a:rPr>
              <a:t>Depósitos</a:t>
            </a:r>
            <a:r>
              <a:rPr lang="es-PE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por Agencia</a:t>
            </a:r>
            <a:endParaRPr lang="es-PE" b="1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'TD Depositos'!$C$2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  <a:sp3d/>
          </c:spPr>
          <c:invertIfNegative val="0"/>
          <c:cat>
            <c:strRef>
              <c:f>'TD Depositos'!$B$3:$B$11</c:f>
              <c:strCache>
                <c:ptCount val="8"/>
                <c:pt idx="0">
                  <c:v>AG01</c:v>
                </c:pt>
                <c:pt idx="1">
                  <c:v>AG02</c:v>
                </c:pt>
                <c:pt idx="2">
                  <c:v>AG03</c:v>
                </c:pt>
                <c:pt idx="3">
                  <c:v>AG04</c:v>
                </c:pt>
                <c:pt idx="4">
                  <c:v>AG05</c:v>
                </c:pt>
                <c:pt idx="5">
                  <c:v>AG06</c:v>
                </c:pt>
                <c:pt idx="6">
                  <c:v>AG07</c:v>
                </c:pt>
                <c:pt idx="7">
                  <c:v>AG08</c:v>
                </c:pt>
              </c:strCache>
            </c:strRef>
          </c:cat>
          <c:val>
            <c:numRef>
              <c:f>'TD Depositos'!$C$3:$C$11</c:f>
              <c:numCache>
                <c:formatCode>_("S/"* #,##0.00_);_("S/"* \(#,##0.00\);_("S/"* "-"??_);_(@_)</c:formatCode>
                <c:ptCount val="8"/>
                <c:pt idx="0">
                  <c:v>1351860</c:v>
                </c:pt>
                <c:pt idx="1">
                  <c:v>699282</c:v>
                </c:pt>
                <c:pt idx="2">
                  <c:v>577948</c:v>
                </c:pt>
                <c:pt idx="3">
                  <c:v>1019048</c:v>
                </c:pt>
                <c:pt idx="4">
                  <c:v>575210</c:v>
                </c:pt>
                <c:pt idx="5">
                  <c:v>1003238</c:v>
                </c:pt>
                <c:pt idx="6">
                  <c:v>1335502</c:v>
                </c:pt>
                <c:pt idx="7">
                  <c:v>1052930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1-4022-85A1-32725CDDC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5359007"/>
        <c:axId val="826638095"/>
        <c:axId val="0"/>
      </c:bar3DChart>
      <c:catAx>
        <c:axId val="49535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6638095"/>
        <c:crosses val="autoZero"/>
        <c:auto val="1"/>
        <c:lblAlgn val="ctr"/>
        <c:lblOffset val="100"/>
        <c:noMultiLvlLbl val="0"/>
      </c:catAx>
      <c:valAx>
        <c:axId val="826638095"/>
        <c:scaling>
          <c:orientation val="minMax"/>
        </c:scaling>
        <c:delete val="0"/>
        <c:axPos val="l"/>
        <c:numFmt formatCode="_(&quot;S/&quot;* #,##0.00_);_(&quot;S/&quot;* \(#,##0.00\);_(&quot;S/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9535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Depositos!TablaDinámica6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>
                <a:solidFill>
                  <a:schemeClr val="tx1">
                    <a:lumMod val="85000"/>
                    <a:lumOff val="15000"/>
                  </a:schemeClr>
                </a:solidFill>
              </a:rPr>
              <a:t>Monto</a:t>
            </a:r>
            <a:r>
              <a:rPr lang="es-PE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por Tipo de Depósitos</a:t>
            </a:r>
            <a:endParaRPr lang="es-PE" b="1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'TD Depositos'!$G$2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'TD Depositos'!$F$3:$F$8</c:f>
              <c:strCache>
                <c:ptCount val="5"/>
                <c:pt idx="0">
                  <c:v>TD01</c:v>
                </c:pt>
                <c:pt idx="1">
                  <c:v>TD02</c:v>
                </c:pt>
                <c:pt idx="2">
                  <c:v>TD03</c:v>
                </c:pt>
                <c:pt idx="3">
                  <c:v>TD04</c:v>
                </c:pt>
                <c:pt idx="4">
                  <c:v>TD05</c:v>
                </c:pt>
              </c:strCache>
            </c:strRef>
          </c:cat>
          <c:val>
            <c:numRef>
              <c:f>'TD Depositos'!$G$3:$G$8</c:f>
              <c:numCache>
                <c:formatCode>_("S/"* #,##0.00_);_("S/"* \(#,##0.00\);_("S/"* "-"??_);_(@_)</c:formatCode>
                <c:ptCount val="5"/>
                <c:pt idx="0">
                  <c:v>1881690</c:v>
                </c:pt>
                <c:pt idx="1">
                  <c:v>1283763</c:v>
                </c:pt>
                <c:pt idx="2">
                  <c:v>1618761</c:v>
                </c:pt>
                <c:pt idx="3">
                  <c:v>1384281</c:v>
                </c:pt>
                <c:pt idx="4">
                  <c:v>1446523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2D2-9200-5B3264840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7060287"/>
        <c:axId val="558098159"/>
        <c:axId val="0"/>
      </c:bar3DChart>
      <c:catAx>
        <c:axId val="507060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58098159"/>
        <c:crosses val="autoZero"/>
        <c:auto val="1"/>
        <c:lblAlgn val="ctr"/>
        <c:lblOffset val="100"/>
        <c:noMultiLvlLbl val="0"/>
      </c:catAx>
      <c:valAx>
        <c:axId val="558098159"/>
        <c:scaling>
          <c:orientation val="minMax"/>
        </c:scaling>
        <c:delete val="0"/>
        <c:axPos val="l"/>
        <c:numFmt formatCode="_(&quot;S/&quot;* #,##0.00_);_(&quot;S/&quot;* \(#,##0.00\);_(&quot;S/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07060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Depositos!TablaDinámica7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>
                <a:solidFill>
                  <a:schemeClr val="tx1">
                    <a:lumMod val="85000"/>
                    <a:lumOff val="15000"/>
                  </a:schemeClr>
                </a:solidFill>
              </a:rPr>
              <a:t>Evolución</a:t>
            </a:r>
            <a:r>
              <a:rPr lang="es-PE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del Monto de Captaciones </a:t>
            </a:r>
            <a:endParaRPr lang="es-PE" b="1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'TD Depositos'!$K$2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'TD Depositos'!$J$3:$J$8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'TD Depositos'!$K$3:$K$8</c:f>
              <c:numCache>
                <c:formatCode>_("S/"* #,##0.00_);_("S/"* \(#,##0.00\);_("S/"* "-"??_);_(@_)</c:formatCode>
                <c:ptCount val="5"/>
                <c:pt idx="0">
                  <c:v>158870</c:v>
                </c:pt>
                <c:pt idx="1">
                  <c:v>498034</c:v>
                </c:pt>
                <c:pt idx="2">
                  <c:v>1112686</c:v>
                </c:pt>
                <c:pt idx="3">
                  <c:v>1994133</c:v>
                </c:pt>
                <c:pt idx="4">
                  <c:v>3851295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1-4967-9029-DD58FFB7E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666095"/>
        <c:axId val="826564175"/>
      </c:lineChart>
      <c:catAx>
        <c:axId val="93366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26564175"/>
        <c:crosses val="autoZero"/>
        <c:auto val="1"/>
        <c:lblAlgn val="ctr"/>
        <c:lblOffset val="100"/>
        <c:noMultiLvlLbl val="0"/>
      </c:catAx>
      <c:valAx>
        <c:axId val="82656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S/&quot;* #,##0.00_);_(&quot;S/&quot;* \(#,##0.00\);_(&quot;S/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3366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[CMAC CrediSol.xlsm]TD Creditos!TablaDinámica4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>
                <a:solidFill>
                  <a:schemeClr val="tx1">
                    <a:lumMod val="85000"/>
                    <a:lumOff val="15000"/>
                  </a:schemeClr>
                </a:solidFill>
              </a:rPr>
              <a:t>Evolución</a:t>
            </a:r>
            <a:r>
              <a:rPr lang="es-PE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del Monto de Colocaciones</a:t>
            </a:r>
            <a:endParaRPr lang="es-PE" b="1">
              <a:solidFill>
                <a:schemeClr val="tx1">
                  <a:lumMod val="85000"/>
                  <a:lumOff val="1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'TD Creditos'!$C$16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'TD Creditos'!$B$17:$B$22</c:f>
              <c:strCach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strCache>
            </c:strRef>
          </c:cat>
          <c:val>
            <c:numRef>
              <c:f>'TD Creditos'!$C$17:$C$22</c:f>
              <c:numCache>
                <c:formatCode>_("S/"* #,##0.00_);_("S/"* \(#,##0.00\);_("S/"* "-"??_);_(@_)</c:formatCode>
                <c:ptCount val="5"/>
                <c:pt idx="0">
                  <c:v>865866</c:v>
                </c:pt>
                <c:pt idx="1">
                  <c:v>1788937</c:v>
                </c:pt>
                <c:pt idx="2">
                  <c:v>4973156</c:v>
                </c:pt>
                <c:pt idx="3">
                  <c:v>7360376</c:v>
                </c:pt>
                <c:pt idx="4">
                  <c:v>7868716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8-401F-8B78-756C630C7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633615"/>
        <c:axId val="558022319"/>
      </c:lineChart>
      <c:catAx>
        <c:axId val="933633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58022319"/>
        <c:crosses val="autoZero"/>
        <c:auto val="1"/>
        <c:lblAlgn val="ctr"/>
        <c:lblOffset val="100"/>
        <c:noMultiLvlLbl val="0"/>
      </c:catAx>
      <c:valAx>
        <c:axId val="55802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S/&quot;* #,##0.00_);_(&quot;S/&quot;* \(#,##0.00\);_(&quot;S/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33633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729611</xdr:colOff>
      <xdr:row>2</xdr:row>
      <xdr:rowOff>183580</xdr:rowOff>
    </xdr:from>
    <xdr:to>
      <xdr:col>10</xdr:col>
      <xdr:colOff>61256</xdr:colOff>
      <xdr:row>16</xdr:row>
      <xdr:rowOff>93093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429C30BF-B6A8-C7E0-CD5A-C5D0C022C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1008200</xdr:colOff>
      <xdr:row>2</xdr:row>
      <xdr:rowOff>158130</xdr:rowOff>
    </xdr:from>
    <xdr:to>
      <xdr:col>18</xdr:col>
      <xdr:colOff>1026080</xdr:colOff>
      <xdr:row>18</xdr:row>
      <xdr:rowOff>141063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2E2DC4B8-90DC-2220-B359-4D947D370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580708</xdr:colOff>
      <xdr:row>2</xdr:row>
      <xdr:rowOff>173708</xdr:rowOff>
    </xdr:from>
    <xdr:to>
      <xdr:col>5</xdr:col>
      <xdr:colOff>146240</xdr:colOff>
      <xdr:row>16</xdr:row>
      <xdr:rowOff>103100</xdr:rowOff>
    </xdr:to>
    <xdr:graphicFrame macro="">
      <xdr:nvGraphicFramePr>
        <xdr:cNvPr id="6" name="Gráfico 3">
          <a:extLst>
            <a:ext uri="{FF2B5EF4-FFF2-40B4-BE49-F238E27FC236}">
              <a16:creationId xmlns:a16="http://schemas.microsoft.com/office/drawing/2014/main" id="{2534B96C-2E52-40B3-43DF-31AC8E491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1336312</xdr:colOff>
      <xdr:row>18</xdr:row>
      <xdr:rowOff>23090</xdr:rowOff>
    </xdr:from>
    <xdr:to>
      <xdr:col>8</xdr:col>
      <xdr:colOff>669977</xdr:colOff>
      <xdr:row>27</xdr:row>
      <xdr:rowOff>75062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CreditoID">
              <a:extLst>
                <a:ext uri="{FF2B5EF4-FFF2-40B4-BE49-F238E27FC236}">
                  <a16:creationId xmlns:a16="http://schemas.microsoft.com/office/drawing/2014/main" id="{0FB71CD8-6801-69FF-5A03-CD18555B46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Credito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84267" y="3461986"/>
              <a:ext cx="1820061" cy="1721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541509</xdr:colOff>
      <xdr:row>18</xdr:row>
      <xdr:rowOff>193396</xdr:rowOff>
    </xdr:from>
    <xdr:to>
      <xdr:col>10</xdr:col>
      <xdr:colOff>1595480</xdr:colOff>
      <xdr:row>26</xdr:row>
      <xdr:rowOff>71027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genciaID">
              <a:extLst>
                <a:ext uri="{FF2B5EF4-FFF2-40B4-BE49-F238E27FC236}">
                  <a16:creationId xmlns:a16="http://schemas.microsoft.com/office/drawing/2014/main" id="{1EAA269D-C7F4-DF1C-A150-A484968932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cia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42808" y="3632292"/>
              <a:ext cx="1820919" cy="13620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751440</xdr:colOff>
      <xdr:row>29</xdr:row>
      <xdr:rowOff>57356</xdr:rowOff>
    </xdr:from>
    <xdr:to>
      <xdr:col>5</xdr:col>
      <xdr:colOff>284853</xdr:colOff>
      <xdr:row>43</xdr:row>
      <xdr:rowOff>94904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1600247E-B93E-4535-DE10-32A26C5BBD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648597</xdr:colOff>
      <xdr:row>29</xdr:row>
      <xdr:rowOff>40792</xdr:rowOff>
    </xdr:from>
    <xdr:to>
      <xdr:col>10</xdr:col>
      <xdr:colOff>112988</xdr:colOff>
      <xdr:row>43</xdr:row>
      <xdr:rowOff>78340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47990368-4F41-95CD-C948-B9DC80EEB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890224</xdr:colOff>
      <xdr:row>44</xdr:row>
      <xdr:rowOff>185215</xdr:rowOff>
    </xdr:from>
    <xdr:to>
      <xdr:col>8</xdr:col>
      <xdr:colOff>227578</xdr:colOff>
      <xdr:row>54</xdr:row>
      <xdr:rowOff>28084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DepositoID">
              <a:extLst>
                <a:ext uri="{FF2B5EF4-FFF2-40B4-BE49-F238E27FC236}">
                  <a16:creationId xmlns:a16="http://schemas.microsoft.com/office/drawing/2014/main" id="{AC8E0F36-65EA-DFB3-1352-98D97D153B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Deposito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8179" y="8448462"/>
              <a:ext cx="1823750" cy="1698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364468</xdr:colOff>
      <xdr:row>45</xdr:row>
      <xdr:rowOff>8378</xdr:rowOff>
    </xdr:from>
    <xdr:to>
      <xdr:col>10</xdr:col>
      <xdr:colOff>1428317</xdr:colOff>
      <xdr:row>54</xdr:row>
      <xdr:rowOff>127095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AgenciaID 1">
              <a:extLst>
                <a:ext uri="{FF2B5EF4-FFF2-40B4-BE49-F238E27FC236}">
                  <a16:creationId xmlns:a16="http://schemas.microsoft.com/office/drawing/2014/main" id="{714F71DE-4109-43BE-CCF1-D88A3087E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ciaI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7" y="8457177"/>
              <a:ext cx="1830797" cy="17886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532870</xdr:colOff>
      <xdr:row>29</xdr:row>
      <xdr:rowOff>60148</xdr:rowOff>
    </xdr:from>
    <xdr:to>
      <xdr:col>15</xdr:col>
      <xdr:colOff>483481</xdr:colOff>
      <xdr:row>43</xdr:row>
      <xdr:rowOff>86959</xdr:rowOff>
    </xdr:to>
    <xdr:graphicFrame macro="">
      <xdr:nvGraphicFramePr>
        <xdr:cNvPr id="13" name="Gráfico 3">
          <a:extLst>
            <a:ext uri="{FF2B5EF4-FFF2-40B4-BE49-F238E27FC236}">
              <a16:creationId xmlns:a16="http://schemas.microsoft.com/office/drawing/2014/main" id="{EC77C3A9-1025-BC1A-A049-FEE762A2D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1291739</xdr:colOff>
      <xdr:row>2</xdr:row>
      <xdr:rowOff>120985</xdr:rowOff>
    </xdr:from>
    <xdr:to>
      <xdr:col>24</xdr:col>
      <xdr:colOff>584489</xdr:colOff>
      <xdr:row>18</xdr:row>
      <xdr:rowOff>173182</xdr:rowOff>
    </xdr:to>
    <xdr:graphicFrame macro="">
      <xdr:nvGraphicFramePr>
        <xdr:cNvPr id="14" name="Gráfico 4">
          <a:extLst>
            <a:ext uri="{FF2B5EF4-FFF2-40B4-BE49-F238E27FC236}">
              <a16:creationId xmlns:a16="http://schemas.microsoft.com/office/drawing/2014/main" id="{7F9F2E3A-28DE-D882-33A6-DC37124DB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250030</xdr:colOff>
      <xdr:row>6</xdr:row>
      <xdr:rowOff>83343</xdr:rowOff>
    </xdr:from>
    <xdr:to>
      <xdr:col>13</xdr:col>
      <xdr:colOff>583405</xdr:colOff>
      <xdr:row>11</xdr:row>
      <xdr:rowOff>59531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98EAAC7-9B90-38A0-33A4-CD5D1088F35B}"/>
            </a:ext>
          </a:extLst>
        </xdr:cNvPr>
        <xdr:cNvSpPr/>
      </xdr:nvSpPr>
      <xdr:spPr>
        <a:xfrm>
          <a:off x="14477999" y="1226343"/>
          <a:ext cx="940594" cy="9286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12</xdr:col>
      <xdr:colOff>273842</xdr:colOff>
      <xdr:row>6</xdr:row>
      <xdr:rowOff>83343</xdr:rowOff>
    </xdr:from>
    <xdr:to>
      <xdr:col>13</xdr:col>
      <xdr:colOff>581024</xdr:colOff>
      <xdr:row>11</xdr:row>
      <xdr:rowOff>45244</xdr:rowOff>
    </xdr:to>
    <xdr:pic macro="[0]!RegistarClientes">
      <xdr:nvPicPr>
        <xdr:cNvPr id="3" name="Gráfico 2" descr="Seguir con relleno sólido">
          <a:extLst>
            <a:ext uri="{FF2B5EF4-FFF2-40B4-BE49-F238E27FC236}">
              <a16:creationId xmlns:a16="http://schemas.microsoft.com/office/drawing/2014/main" id="{A0EABE49-C649-8748-42CB-0F8D8B058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501811" y="1226343"/>
          <a:ext cx="914401" cy="914401"/>
        </a:xfrm>
        <a:prstGeom prst="rect">
          <a:avLst/>
        </a:prstGeom>
      </xdr:spPr>
    </xdr:pic>
    <xdr:clientData/>
  </xdr:twoCellAnchor>
  <xdr:twoCellAnchor>
    <xdr:from>
      <xdr:col>11</xdr:col>
      <xdr:colOff>417908</xdr:colOff>
      <xdr:row>4</xdr:row>
      <xdr:rowOff>1191</xdr:rowOff>
    </xdr:from>
    <xdr:to>
      <xdr:col>14</xdr:col>
      <xdr:colOff>428625</xdr:colOff>
      <xdr:row>6</xdr:row>
      <xdr:rowOff>119063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3A86836-717E-BC72-85F4-DDF5DDB19C67}"/>
            </a:ext>
          </a:extLst>
        </xdr:cNvPr>
        <xdr:cNvSpPr txBox="1"/>
      </xdr:nvSpPr>
      <xdr:spPr>
        <a:xfrm>
          <a:off x="14038658" y="763191"/>
          <a:ext cx="1832373" cy="498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Registrar</a:t>
          </a:r>
          <a:r>
            <a:rPr lang="es-PE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Nuevos clientes</a:t>
          </a:r>
          <a:endParaRPr lang="es-PE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4</xdr:row>
      <xdr:rowOff>65239</xdr:rowOff>
    </xdr:from>
    <xdr:to>
      <xdr:col>21</xdr:col>
      <xdr:colOff>626301</xdr:colOff>
      <xdr:row>10</xdr:row>
      <xdr:rowOff>78287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297896F-CA66-D5B6-4DB4-2EAE3A49493E}"/>
            </a:ext>
          </a:extLst>
        </xdr:cNvPr>
        <xdr:cNvSpPr/>
      </xdr:nvSpPr>
      <xdr:spPr>
        <a:xfrm>
          <a:off x="21685685" y="848116"/>
          <a:ext cx="1383082" cy="1187363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20</xdr:col>
      <xdr:colOff>65239</xdr:colOff>
      <xdr:row>0</xdr:row>
      <xdr:rowOff>117431</xdr:rowOff>
    </xdr:from>
    <xdr:to>
      <xdr:col>21</xdr:col>
      <xdr:colOff>626301</xdr:colOff>
      <xdr:row>7</xdr:row>
      <xdr:rowOff>65240</xdr:rowOff>
    </xdr:to>
    <xdr:pic>
      <xdr:nvPicPr>
        <xdr:cNvPr id="4" name="Gráfico 3" descr="Cartera contorno">
          <a:extLst>
            <a:ext uri="{FF2B5EF4-FFF2-40B4-BE49-F238E27FC236}">
              <a16:creationId xmlns:a16="http://schemas.microsoft.com/office/drawing/2014/main" id="{CEFF1D4C-144E-F002-995F-C3EC4531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750924" y="117431"/>
          <a:ext cx="1317843" cy="1317843"/>
        </a:xfrm>
        <a:prstGeom prst="rect">
          <a:avLst/>
        </a:prstGeom>
      </xdr:spPr>
    </xdr:pic>
    <xdr:clientData/>
  </xdr:twoCellAnchor>
  <xdr:twoCellAnchor editAs="oneCell">
    <xdr:from>
      <xdr:col>19</xdr:col>
      <xdr:colOff>756780</xdr:colOff>
      <xdr:row>3</xdr:row>
      <xdr:rowOff>195717</xdr:rowOff>
    </xdr:from>
    <xdr:to>
      <xdr:col>21</xdr:col>
      <xdr:colOff>574109</xdr:colOff>
      <xdr:row>10</xdr:row>
      <xdr:rowOff>156574</xdr:rowOff>
    </xdr:to>
    <xdr:pic macro="[0]!NuevosCreditos">
      <xdr:nvPicPr>
        <xdr:cNvPr id="6" name="Gráfico 5" descr="Cartera con relleno sólido">
          <a:extLst>
            <a:ext uri="{FF2B5EF4-FFF2-40B4-BE49-F238E27FC236}">
              <a16:creationId xmlns:a16="http://schemas.microsoft.com/office/drawing/2014/main" id="{C8A073A8-3DBB-E5D3-3E50-E4EC67E4A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685684" y="782875"/>
          <a:ext cx="1330891" cy="1330891"/>
        </a:xfrm>
        <a:prstGeom prst="rect">
          <a:avLst/>
        </a:prstGeom>
      </xdr:spPr>
    </xdr:pic>
    <xdr:clientData/>
  </xdr:twoCellAnchor>
  <xdr:twoCellAnchor>
    <xdr:from>
      <xdr:col>19</xdr:col>
      <xdr:colOff>521918</xdr:colOff>
      <xdr:row>2</xdr:row>
      <xdr:rowOff>0</xdr:rowOff>
    </xdr:from>
    <xdr:to>
      <xdr:col>22</xdr:col>
      <xdr:colOff>83948</xdr:colOff>
      <xdr:row>4</xdr:row>
      <xdr:rowOff>107433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40952747-9292-459B-984E-6CB0CC34BEF9}"/>
            </a:ext>
          </a:extLst>
        </xdr:cNvPr>
        <xdr:cNvSpPr txBox="1"/>
      </xdr:nvSpPr>
      <xdr:spPr>
        <a:xfrm>
          <a:off x="21450822" y="391438"/>
          <a:ext cx="1832373" cy="498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Registrar</a:t>
          </a:r>
          <a:r>
            <a:rPr lang="es-PE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Nuevos créditos</a:t>
          </a:r>
          <a:endParaRPr lang="es-PE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742950</xdr:colOff>
      <xdr:row>3</xdr:row>
      <xdr:rowOff>76200</xdr:rowOff>
    </xdr:from>
    <xdr:to>
      <xdr:col>15</xdr:col>
      <xdr:colOff>609600</xdr:colOff>
      <xdr:row>9</xdr:row>
      <xdr:rowOff>38100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F73154B-725D-15DD-9596-AE58A3CE1FBA}"/>
            </a:ext>
          </a:extLst>
        </xdr:cNvPr>
        <xdr:cNvSpPr/>
      </xdr:nvSpPr>
      <xdr:spPr>
        <a:xfrm>
          <a:off x="13668375" y="647700"/>
          <a:ext cx="1390650" cy="11049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14</xdr:col>
      <xdr:colOff>152399</xdr:colOff>
      <xdr:row>3</xdr:row>
      <xdr:rowOff>19049</xdr:rowOff>
    </xdr:from>
    <xdr:to>
      <xdr:col>15</xdr:col>
      <xdr:colOff>561974</xdr:colOff>
      <xdr:row>9</xdr:row>
      <xdr:rowOff>47624</xdr:rowOff>
    </xdr:to>
    <xdr:pic macro="[0]!NuevosDepositos">
      <xdr:nvPicPr>
        <xdr:cNvPr id="6" name="Gráfico 5" descr="Hucha con relleno sólido">
          <a:extLst>
            <a:ext uri="{FF2B5EF4-FFF2-40B4-BE49-F238E27FC236}">
              <a16:creationId xmlns:a16="http://schemas.microsoft.com/office/drawing/2014/main" id="{900EFD38-F733-0A54-5EC8-9E531CD7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39824" y="590549"/>
          <a:ext cx="1171575" cy="1171575"/>
        </a:xfrm>
        <a:prstGeom prst="rect">
          <a:avLst/>
        </a:prstGeom>
      </xdr:spPr>
    </xdr:pic>
    <xdr:clientData/>
  </xdr:twoCellAnchor>
  <xdr:twoCellAnchor>
    <xdr:from>
      <xdr:col>13</xdr:col>
      <xdr:colOff>485775</xdr:colOff>
      <xdr:row>1</xdr:row>
      <xdr:rowOff>9525</xdr:rowOff>
    </xdr:from>
    <xdr:to>
      <xdr:col>16</xdr:col>
      <xdr:colOff>32148</xdr:colOff>
      <xdr:row>3</xdr:row>
      <xdr:rowOff>127397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12C24D42-65D7-45F2-A6B3-B91FE196B328}"/>
            </a:ext>
          </a:extLst>
        </xdr:cNvPr>
        <xdr:cNvSpPr txBox="1"/>
      </xdr:nvSpPr>
      <xdr:spPr>
        <a:xfrm>
          <a:off x="13411200" y="200025"/>
          <a:ext cx="1832373" cy="498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Registrar</a:t>
          </a:r>
          <a:r>
            <a:rPr lang="es-PE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Nuevos depósitos</a:t>
          </a:r>
          <a:endParaRPr lang="es-PE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5.418127662037" createdVersion="8" refreshedVersion="8" minRefreshableVersion="3" recordCount="400" xr:uid="{15DA20B0-E072-4B54-BA72-B2375F3A9736}">
  <cacheSource type="worksheet">
    <worksheetSource name="Tabla1"/>
  </cacheSource>
  <cacheFields count="22">
    <cacheField name="CreditoID" numFmtId="0">
      <sharedItems/>
    </cacheField>
    <cacheField name="ClienteID" numFmtId="0">
      <sharedItems/>
    </cacheField>
    <cacheField name="TipoCreditoID" numFmtId="0">
      <sharedItems count="5">
        <s v="TC05"/>
        <s v="TC01"/>
        <s v="TC03"/>
        <s v="TC02"/>
        <s v="TC04"/>
      </sharedItems>
    </cacheField>
    <cacheField name="AgenciaID" numFmtId="0">
      <sharedItems count="8">
        <s v="AG01"/>
        <s v="AG06"/>
        <s v="AG05"/>
        <s v="AG04"/>
        <s v="AG08"/>
        <s v="AG02"/>
        <s v="AG03"/>
        <s v="AG07"/>
      </sharedItems>
    </cacheField>
    <cacheField name="FechaDesembolso" numFmtId="14">
      <sharedItems containsSemiMixedTypes="0" containsNonDate="0" containsDate="1" containsString="0" minDate="2022-01-05T00:00:00" maxDate="2026-07-25T00:00:00" count="324">
        <d v="2025-02-28T00:00:00"/>
        <d v="2024-09-10T00:00:00"/>
        <d v="2026-06-16T00:00:00"/>
        <d v="2024-10-01T00:00:00"/>
        <d v="2023-05-19T00:00:00"/>
        <d v="2025-04-01T00:00:00"/>
        <d v="2025-12-28T00:00:00"/>
        <d v="2026-07-04T00:00:00"/>
        <d v="2026-04-12T00:00:00"/>
        <d v="2026-01-14T00:00:00"/>
        <d v="2026-01-13T00:00:00"/>
        <d v="2025-07-11T00:00:00"/>
        <d v="2025-08-24T00:00:00"/>
        <d v="2026-06-01T00:00:00"/>
        <d v="2022-10-24T00:00:00"/>
        <d v="2025-11-25T00:00:00"/>
        <d v="2025-09-29T00:00:00"/>
        <d v="2025-06-26T00:00:00"/>
        <d v="2025-02-19T00:00:00"/>
        <d v="2025-12-27T00:00:00"/>
        <d v="2025-10-25T00:00:00"/>
        <d v="2026-03-09T00:00:00"/>
        <d v="2026-04-25T00:00:00"/>
        <d v="2026-03-23T00:00:00"/>
        <d v="2025-06-30T00:00:00"/>
        <d v="2025-12-06T00:00:00"/>
        <d v="2025-04-13T00:00:00"/>
        <d v="2025-10-14T00:00:00"/>
        <d v="2026-07-02T00:00:00"/>
        <d v="2025-12-02T00:00:00"/>
        <d v="2024-10-04T00:00:00"/>
        <d v="2026-01-16T00:00:00"/>
        <d v="2026-02-18T00:00:00"/>
        <d v="2024-08-25T00:00:00"/>
        <d v="2024-03-29T00:00:00"/>
        <d v="2025-06-06T00:00:00"/>
        <d v="2026-04-11T00:00:00"/>
        <d v="2023-10-26T00:00:00"/>
        <d v="2024-06-24T00:00:00"/>
        <d v="2023-12-29T00:00:00"/>
        <d v="2024-07-26T00:00:00"/>
        <d v="2026-01-22T00:00:00"/>
        <d v="2026-01-25T00:00:00"/>
        <d v="2024-12-06T00:00:00"/>
        <d v="2023-09-10T00:00:00"/>
        <d v="2025-05-21T00:00:00"/>
        <d v="2022-12-18T00:00:00"/>
        <d v="2025-06-04T00:00:00"/>
        <d v="2026-04-29T00:00:00"/>
        <d v="2026-06-11T00:00:00"/>
        <d v="2026-01-07T00:00:00"/>
        <d v="2025-11-06T00:00:00"/>
        <d v="2026-06-27T00:00:00"/>
        <d v="2026-03-07T00:00:00"/>
        <d v="2025-07-09T00:00:00"/>
        <d v="2026-04-26T00:00:00"/>
        <d v="2023-11-07T00:00:00"/>
        <d v="2024-11-06T00:00:00"/>
        <d v="2024-08-27T00:00:00"/>
        <d v="2026-05-08T00:00:00"/>
        <d v="2026-06-04T00:00:00"/>
        <d v="2026-07-14T00:00:00"/>
        <d v="2026-06-28T00:00:00"/>
        <d v="2026-01-06T00:00:00"/>
        <d v="2026-06-10T00:00:00"/>
        <d v="2025-10-20T00:00:00"/>
        <d v="2025-10-17T00:00:00"/>
        <d v="2024-07-01T00:00:00"/>
        <d v="2026-06-14T00:00:00"/>
        <d v="2024-12-20T00:00:00"/>
        <d v="2023-08-20T00:00:00"/>
        <d v="2024-11-13T00:00:00"/>
        <d v="2026-04-07T00:00:00"/>
        <d v="2025-12-07T00:00:00"/>
        <d v="2024-10-14T00:00:00"/>
        <d v="2024-05-25T00:00:00"/>
        <d v="2024-08-10T00:00:00"/>
        <d v="2023-03-25T00:00:00"/>
        <d v="2024-02-12T00:00:00"/>
        <d v="2025-03-23T00:00:00"/>
        <d v="2025-02-05T00:00:00"/>
        <d v="2025-11-11T00:00:00"/>
        <d v="2025-10-29T00:00:00"/>
        <d v="2025-08-19T00:00:00"/>
        <d v="2025-12-03T00:00:00"/>
        <d v="2025-10-16T00:00:00"/>
        <d v="2025-11-09T00:00:00"/>
        <d v="2025-07-03T00:00:00"/>
        <d v="2025-10-28T00:00:00"/>
        <d v="2025-05-05T00:00:00"/>
        <d v="2022-10-29T00:00:00"/>
        <d v="2026-03-10T00:00:00"/>
        <d v="2023-04-14T00:00:00"/>
        <d v="2026-04-21T00:00:00"/>
        <d v="2023-05-29T00:00:00"/>
        <d v="2024-10-20T00:00:00"/>
        <d v="2026-04-15T00:00:00"/>
        <d v="2026-02-11T00:00:00"/>
        <d v="2025-03-10T00:00:00"/>
        <d v="2026-06-24T00:00:00"/>
        <d v="2026-02-28T00:00:00"/>
        <d v="2024-12-27T00:00:00"/>
        <d v="2022-08-10T00:00:00"/>
        <d v="2026-07-06T00:00:00"/>
        <d v="2022-09-25T00:00:00"/>
        <d v="2025-10-05T00:00:00"/>
        <d v="2025-08-26T00:00:00"/>
        <d v="2022-06-15T00:00:00"/>
        <d v="2026-05-09T00:00:00"/>
        <d v="2026-03-28T00:00:00"/>
        <d v="2026-06-22T00:00:00"/>
        <d v="2023-08-27T00:00:00"/>
        <d v="2026-07-03T00:00:00"/>
        <d v="2025-12-24T00:00:00"/>
        <d v="2024-10-05T00:00:00"/>
        <d v="2023-10-09T00:00:00"/>
        <d v="2026-04-20T00:00:00"/>
        <d v="2025-12-01T00:00:00"/>
        <d v="2026-06-29T00:00:00"/>
        <d v="2023-09-24T00:00:00"/>
        <d v="2024-04-28T00:00:00"/>
        <d v="2024-01-17T00:00:00"/>
        <d v="2026-07-24T00:00:00"/>
        <d v="2025-04-03T00:00:00"/>
        <d v="2025-11-20T00:00:00"/>
        <d v="2023-05-22T00:00:00"/>
        <d v="2026-05-30T00:00:00"/>
        <d v="2026-06-25T00:00:00"/>
        <d v="2026-04-08T00:00:00"/>
        <d v="2026-03-30T00:00:00"/>
        <d v="2023-05-30T00:00:00"/>
        <d v="2022-03-06T00:00:00"/>
        <d v="2024-04-24T00:00:00"/>
        <d v="2024-07-10T00:00:00"/>
        <d v="2026-01-24T00:00:00"/>
        <d v="2026-05-28T00:00:00"/>
        <d v="2026-02-26T00:00:00"/>
        <d v="2024-10-15T00:00:00"/>
        <d v="2025-12-17T00:00:00"/>
        <d v="2026-07-11T00:00:00"/>
        <d v="2024-02-14T00:00:00"/>
        <d v="2024-01-22T00:00:00"/>
        <d v="2025-03-27T00:00:00"/>
        <d v="2026-01-17T00:00:00"/>
        <d v="2025-07-02T00:00:00"/>
        <d v="2025-11-13T00:00:00"/>
        <d v="2026-07-15T00:00:00"/>
        <d v="2025-07-22T00:00:00"/>
        <d v="2025-04-04T00:00:00"/>
        <d v="2025-10-03T00:00:00"/>
        <d v="2026-06-13T00:00:00"/>
        <d v="2026-05-11T00:00:00"/>
        <d v="2024-11-12T00:00:00"/>
        <d v="2026-04-06T00:00:00"/>
        <d v="2022-01-05T00:00:00"/>
        <d v="2026-03-21T00:00:00"/>
        <d v="2024-09-09T00:00:00"/>
        <d v="2024-11-07T00:00:00"/>
        <d v="2026-02-24T00:00:00"/>
        <d v="2025-09-10T00:00:00"/>
        <d v="2024-09-22T00:00:00"/>
        <d v="2023-01-27T00:00:00"/>
        <d v="2025-08-18T00:00:00"/>
        <d v="2023-12-21T00:00:00"/>
        <d v="2025-09-18T00:00:00"/>
        <d v="2025-03-17T00:00:00"/>
        <d v="2026-03-11T00:00:00"/>
        <d v="2023-11-29T00:00:00"/>
        <d v="2026-05-07T00:00:00"/>
        <d v="2025-05-25T00:00:00"/>
        <d v="2024-01-10T00:00:00"/>
        <d v="2026-01-26T00:00:00"/>
        <d v="2026-05-16T00:00:00"/>
        <d v="2024-06-08T00:00:00"/>
        <d v="2026-04-03T00:00:00"/>
        <d v="2025-03-12T00:00:00"/>
        <d v="2026-07-05T00:00:00"/>
        <d v="2023-10-07T00:00:00"/>
        <d v="2025-09-25T00:00:00"/>
        <d v="2025-01-04T00:00:00"/>
        <d v="2023-02-28T00:00:00"/>
        <d v="2022-01-12T00:00:00"/>
        <d v="2025-08-01T00:00:00"/>
        <d v="2024-04-10T00:00:00"/>
        <d v="2025-07-29T00:00:00"/>
        <d v="2024-11-01T00:00:00"/>
        <d v="2026-05-18T00:00:00"/>
        <d v="2026-04-17T00:00:00"/>
        <d v="2026-07-07T00:00:00"/>
        <d v="2026-02-20T00:00:00"/>
        <d v="2026-06-17T00:00:00"/>
        <d v="2024-07-04T00:00:00"/>
        <d v="2025-07-05T00:00:00"/>
        <d v="2024-12-23T00:00:00"/>
        <d v="2024-05-27T00:00:00"/>
        <d v="2025-10-10T00:00:00"/>
        <d v="2024-12-18T00:00:00"/>
        <d v="2025-06-09T00:00:00"/>
        <d v="2025-03-04T00:00:00"/>
        <d v="2022-07-15T00:00:00"/>
        <d v="2024-12-24T00:00:00"/>
        <d v="2025-11-24T00:00:00"/>
        <d v="2025-06-21T00:00:00"/>
        <d v="2025-07-18T00:00:00"/>
        <d v="2023-09-11T00:00:00"/>
        <d v="2026-02-14T00:00:00"/>
        <d v="2024-07-08T00:00:00"/>
        <d v="2025-05-20T00:00:00"/>
        <d v="2025-01-06T00:00:00"/>
        <d v="2023-02-24T00:00:00"/>
        <d v="2026-02-23T00:00:00"/>
        <d v="2025-02-21T00:00:00"/>
        <d v="2024-10-26T00:00:00"/>
        <d v="2025-08-08T00:00:00"/>
        <d v="2024-12-22T00:00:00"/>
        <d v="2026-01-04T00:00:00"/>
        <d v="2025-05-09T00:00:00"/>
        <d v="2025-05-17T00:00:00"/>
        <d v="2024-09-21T00:00:00"/>
        <d v="2026-03-14T00:00:00"/>
        <d v="2025-07-04T00:00:00"/>
        <d v="2025-07-01T00:00:00"/>
        <d v="2025-09-30T00:00:00"/>
        <d v="2024-09-26T00:00:00"/>
        <d v="2025-08-05T00:00:00"/>
        <d v="2025-04-17T00:00:00"/>
        <d v="2025-09-09T00:00:00"/>
        <d v="2025-05-12T00:00:00"/>
        <d v="2024-03-06T00:00:00"/>
        <d v="2025-09-27T00:00:00"/>
        <d v="2024-01-28T00:00:00"/>
        <d v="2025-07-13T00:00:00"/>
        <d v="2024-12-04T00:00:00"/>
        <d v="2024-06-06T00:00:00"/>
        <d v="2025-05-14T00:00:00"/>
        <d v="2022-11-10T00:00:00"/>
        <d v="2024-08-18T00:00:00"/>
        <d v="2024-03-02T00:00:00"/>
        <d v="2022-03-01T00:00:00"/>
        <d v="2026-05-26T00:00:00"/>
        <d v="2024-05-17T00:00:00"/>
        <d v="2024-06-25T00:00:00"/>
        <d v="2026-05-20T00:00:00"/>
        <d v="2023-02-13T00:00:00"/>
        <d v="2023-12-13T00:00:00"/>
        <d v="2025-01-16T00:00:00"/>
        <d v="2026-02-09T00:00:00"/>
        <d v="2024-11-24T00:00:00"/>
        <d v="2026-05-01T00:00:00"/>
        <d v="2023-05-09T00:00:00"/>
        <d v="2026-01-08T00:00:00"/>
        <d v="2022-08-20T00:00:00"/>
        <d v="2023-03-08T00:00:00"/>
        <d v="2025-11-23T00:00:00"/>
        <d v="2025-12-04T00:00:00"/>
        <d v="2024-08-30T00:00:00"/>
        <d v="2026-01-15T00:00:00"/>
        <d v="2025-08-10T00:00:00"/>
        <d v="2022-10-11T00:00:00"/>
        <d v="2024-07-31T00:00:00"/>
        <d v="2026-06-05T00:00:00"/>
        <d v="2023-10-10T00:00:00"/>
        <d v="2026-02-12T00:00:00"/>
        <d v="2023-01-12T00:00:00"/>
        <d v="2026-01-20T00:00:00"/>
        <d v="2023-09-19T00:00:00"/>
        <d v="2022-08-30T00:00:00"/>
        <d v="2024-12-07T00:00:00"/>
        <d v="2026-03-05T00:00:00"/>
        <d v="2025-07-16T00:00:00"/>
        <d v="2025-12-18T00:00:00"/>
        <d v="2026-06-08T00:00:00"/>
        <d v="2024-10-09T00:00:00"/>
        <d v="2026-06-03T00:00:00"/>
        <d v="2026-05-04T00:00:00"/>
        <d v="2026-01-23T00:00:00"/>
        <d v="2022-06-09T00:00:00"/>
        <d v="2026-05-13T00:00:00"/>
        <d v="2026-03-31T00:00:00"/>
        <d v="2022-09-23T00:00:00"/>
        <d v="2025-03-18T00:00:00"/>
        <d v="2026-01-31T00:00:00"/>
        <d v="2023-07-08T00:00:00"/>
        <d v="2025-12-09T00:00:00"/>
        <d v="2024-08-24T00:00:00"/>
        <d v="2024-03-22T00:00:00"/>
        <d v="2023-06-11T00:00:00"/>
        <d v="2026-05-27T00:00:00"/>
        <d v="2025-10-23T00:00:00"/>
        <d v="2026-01-18T00:00:00"/>
        <d v="2026-07-01T00:00:00"/>
        <d v="2025-12-21T00:00:00"/>
        <d v="2025-02-10T00:00:00"/>
        <d v="2024-02-01T00:00:00"/>
        <d v="2026-05-14T00:00:00"/>
        <d v="2024-12-19T00:00:00"/>
        <d v="2026-07-10T00:00:00"/>
        <d v="2025-06-01T00:00:00"/>
        <d v="2025-10-12T00:00:00"/>
        <d v="2026-03-01T00:00:00"/>
        <d v="2024-09-15T00:00:00"/>
        <d v="2026-06-09T00:00:00"/>
        <d v="2023-06-28T00:00:00"/>
        <d v="2025-11-30T00:00:00"/>
        <d v="2025-02-14T00:00:00"/>
        <d v="2025-10-27T00:00:00"/>
        <d v="2024-04-19T00:00:00"/>
        <d v="2024-08-16T00:00:00"/>
        <d v="2026-03-12T00:00:00"/>
        <d v="2024-04-21T00:00:00"/>
        <d v="2024-12-11T00:00:00"/>
        <d v="2026-01-12T00:00:00"/>
        <d v="2025-11-14T00:00:00"/>
        <d v="2025-04-08T00:00:00"/>
        <d v="2022-09-07T00:00:00"/>
        <d v="2023-12-01T00:00:00"/>
        <d v="2025-10-30T00:00:00"/>
        <d v="2026-05-03T00:00:00"/>
        <d v="2024-10-27T00:00:00"/>
        <d v="2025-07-12T00:00:00"/>
        <d v="2026-03-20T00:00:00"/>
        <d v="2024-09-27T00:00:00"/>
        <d v="2024-01-12T00:00:00"/>
        <d v="2025-10-07T00:00:00"/>
      </sharedItems>
      <fieldGroup par="21"/>
    </cacheField>
    <cacheField name="MontoDesembolsado" numFmtId="44">
      <sharedItems containsSemiMixedTypes="0" containsString="0" containsNumber="1" containsInteger="1" minValue="658" maxValue="297277"/>
    </cacheField>
    <cacheField name="TEA" numFmtId="10">
      <sharedItems containsSemiMixedTypes="0" containsString="0" containsNumber="1" minValue="9.012006117942177E-2" maxValue="0.54423235575475293"/>
    </cacheField>
    <cacheField name="TEM" numFmtId="10">
      <sharedItems containsSemiMixedTypes="0" containsString="0" containsNumber="1" minValue="7.2165679946292194E-3" maxValue="3.6874165852351704E-2"/>
    </cacheField>
    <cacheField name="Plazos (Meses)" numFmtId="0">
      <sharedItems containsSemiMixedTypes="0" containsString="0" containsNumber="1" containsInteger="1" minValue="6" maxValue="240"/>
    </cacheField>
    <cacheField name="Cuota Mensual" numFmtId="8">
      <sharedItems containsSemiMixedTypes="0" containsString="0" containsNumber="1" minValue="35.608511252856417" maxValue="8258.6370755155222"/>
    </cacheField>
    <cacheField name="Plazo transcurrido" numFmtId="0">
      <sharedItems containsSemiMixedTypes="0" containsString="0" containsNumber="1" containsInteger="1" minValue="0" maxValue="53"/>
    </cacheField>
    <cacheField name="Plazo real transcurrido" numFmtId="0">
      <sharedItems containsSemiMixedTypes="0" containsString="0" containsNumber="1" containsInteger="1" minValue="0" maxValue="54"/>
    </cacheField>
    <cacheField name="Plazo restante" numFmtId="0">
      <sharedItems containsSemiMixedTypes="0" containsString="0" containsNumber="1" containsInteger="1" minValue="0" maxValue="238"/>
    </cacheField>
    <cacheField name="En Mora" numFmtId="0">
      <sharedItems/>
    </cacheField>
    <cacheField name="Mes de Mora" numFmtId="0">
      <sharedItems containsBlank="1" containsMixedTypes="1" containsNumber="1" containsInteger="1" minValue="1" maxValue="27"/>
    </cacheField>
    <cacheField name="Saldo Pendiente" numFmtId="44">
      <sharedItems containsSemiMixedTypes="0" containsString="0" containsNumber="1" minValue="0" maxValue="297276.99999999983"/>
    </cacheField>
    <cacheField name="Interés Devengado" numFmtId="44">
      <sharedItems containsSemiMixedTypes="0" containsString="0" containsNumber="1" minValue="0" maxValue="60906.815633747865"/>
    </cacheField>
    <cacheField name="Estado" numFmtId="0">
      <sharedItems count="3">
        <s v="Cancelado"/>
        <s v="Vigente"/>
        <s v="En mora"/>
      </sharedItems>
    </cacheField>
    <cacheField name="TiempoEnMora (Días)" numFmtId="0">
      <sharedItems containsMixedTypes="1" containsNumber="1" containsInteger="1" minValue="13" maxValue="1399"/>
    </cacheField>
    <cacheField name="Meses (FechaDesembolso)" numFmtId="0" databaseField="0">
      <fieldGroup base="4">
        <rangePr groupBy="months" startDate="2022-01-05T00:00:00" endDate="2026-07-25T00:00:00"/>
        <groupItems count="14">
          <s v="&lt;5/01/2022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25/07/2026"/>
        </groupItems>
      </fieldGroup>
    </cacheField>
    <cacheField name="Trimestres (FechaDesembolso)" numFmtId="0" databaseField="0">
      <fieldGroup base="4">
        <rangePr groupBy="quarters" startDate="2022-01-05T00:00:00" endDate="2026-07-25T00:00:00"/>
        <groupItems count="6">
          <s v="&lt;5/01/2022"/>
          <s v="Trim.1"/>
          <s v="Trim.2"/>
          <s v="Trim.3"/>
          <s v="Trim.4"/>
          <s v="&gt;25/07/2026"/>
        </groupItems>
      </fieldGroup>
    </cacheField>
    <cacheField name="Años (FechaDesembolso)" numFmtId="0" databaseField="0">
      <fieldGroup base="4">
        <rangePr groupBy="years" startDate="2022-01-05T00:00:00" endDate="2026-07-25T00:00:00"/>
        <groupItems count="7">
          <s v="&lt;5/01/2022"/>
          <s v="2022"/>
          <s v="2023"/>
          <s v="2024"/>
          <s v="2025"/>
          <s v="2026"/>
          <s v="&gt;25/07/2026"/>
        </groupItems>
      </fieldGroup>
    </cacheField>
  </cacheFields>
  <extLst>
    <ext xmlns:x14="http://schemas.microsoft.com/office/spreadsheetml/2009/9/main" uri="{725AE2AE-9491-48be-B2B4-4EB974FC3084}">
      <x14:pivotCacheDefinition pivotCacheId="147492724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5.42176921296" createdVersion="8" refreshedVersion="8" minRefreshableVersion="3" recordCount="300" xr:uid="{22B8BDE1-8050-4C87-A28B-7A841FB43CA4}">
  <cacheSource type="worksheet">
    <worksheetSource name="Tabla2"/>
  </cacheSource>
  <cacheFields count="16">
    <cacheField name="DepositoID" numFmtId="0">
      <sharedItems/>
    </cacheField>
    <cacheField name="ClienteID" numFmtId="0">
      <sharedItems/>
    </cacheField>
    <cacheField name="TipoDepositoID" numFmtId="0">
      <sharedItems count="5">
        <s v="TD02"/>
        <s v="TD01"/>
        <s v="TD04"/>
        <s v="TD05"/>
        <s v="TD03"/>
      </sharedItems>
    </cacheField>
    <cacheField name="AgenciaID" numFmtId="0">
      <sharedItems count="8">
        <s v="AG07"/>
        <s v="AG01"/>
        <s v="AG02"/>
        <s v="AG08"/>
        <s v="AG05"/>
        <s v="AG06"/>
        <s v="AG04"/>
        <s v="AG03"/>
      </sharedItems>
    </cacheField>
    <cacheField name="FechaApertura" numFmtId="14">
      <sharedItems containsSemiMixedTypes="0" containsNonDate="0" containsDate="1" containsString="0" minDate="2022-04-12T00:00:00" maxDate="2026-08-10T00:00:00" count="246">
        <d v="2022-10-20T00:00:00"/>
        <d v="2023-09-26T00:00:00"/>
        <d v="2026-05-17T00:00:00"/>
        <d v="2025-07-29T00:00:00"/>
        <d v="2023-09-14T00:00:00"/>
        <d v="2025-07-09T00:00:00"/>
        <d v="2024-07-22T00:00:00"/>
        <d v="2026-02-17T00:00:00"/>
        <d v="2026-07-12T00:00:00"/>
        <d v="2024-10-19T00:00:00"/>
        <d v="2024-10-31T00:00:00"/>
        <d v="2026-04-01T00:00:00"/>
        <d v="2025-06-12T00:00:00"/>
        <d v="2025-09-14T00:00:00"/>
        <d v="2026-05-20T00:00:00"/>
        <d v="2022-04-12T00:00:00"/>
        <d v="2024-09-12T00:00:00"/>
        <d v="2025-06-18T00:00:00"/>
        <d v="2024-05-20T00:00:00"/>
        <d v="2026-01-16T00:00:00"/>
        <d v="2026-02-27T00:00:00"/>
        <d v="2026-07-18T00:00:00"/>
        <d v="2024-08-18T00:00:00"/>
        <d v="2023-09-16T00:00:00"/>
        <d v="2026-04-17T00:00:00"/>
        <d v="2026-05-24T00:00:00"/>
        <d v="2025-08-08T00:00:00"/>
        <d v="2026-07-13T00:00:00"/>
        <d v="2026-06-19T00:00:00"/>
        <d v="2025-02-06T00:00:00"/>
        <d v="2026-07-11T00:00:00"/>
        <d v="2025-12-04T00:00:00"/>
        <d v="2026-06-09T00:00:00"/>
        <d v="2024-06-27T00:00:00"/>
        <d v="2024-02-17T00:00:00"/>
        <d v="2026-04-04T00:00:00"/>
        <d v="2025-09-27T00:00:00"/>
        <d v="2023-10-10T00:00:00"/>
        <d v="2026-02-20T00:00:00"/>
        <d v="2025-04-29T00:00:00"/>
        <d v="2024-09-22T00:00:00"/>
        <d v="2024-11-15T00:00:00"/>
        <d v="2025-08-18T00:00:00"/>
        <d v="2025-07-27T00:00:00"/>
        <d v="2025-03-05T00:00:00"/>
        <d v="2026-06-23T00:00:00"/>
        <d v="2024-12-16T00:00:00"/>
        <d v="2025-04-16T00:00:00"/>
        <d v="2026-02-28T00:00:00"/>
        <d v="2026-04-27T00:00:00"/>
        <d v="2026-05-29T00:00:00"/>
        <d v="2026-07-16T00:00:00"/>
        <d v="2026-07-27T00:00:00"/>
        <d v="2024-10-06T00:00:00"/>
        <d v="2026-07-22T00:00:00"/>
        <d v="2025-12-12T00:00:00"/>
        <d v="2026-04-07T00:00:00"/>
        <d v="2024-12-28T00:00:00"/>
        <d v="2026-05-11T00:00:00"/>
        <d v="2025-01-22T00:00:00"/>
        <d v="2026-03-02T00:00:00"/>
        <d v="2026-04-11T00:00:00"/>
        <d v="2026-04-15T00:00:00"/>
        <d v="2025-06-28T00:00:00"/>
        <d v="2025-06-23T00:00:00"/>
        <d v="2026-08-09T00:00:00"/>
        <d v="2025-06-13T00:00:00"/>
        <d v="2026-07-24T00:00:00"/>
        <d v="2026-01-08T00:00:00"/>
        <d v="2025-09-18T00:00:00"/>
        <d v="2026-03-08T00:00:00"/>
        <d v="2025-12-03T00:00:00"/>
        <d v="2026-05-25T00:00:00"/>
        <d v="2026-02-16T00:00:00"/>
        <d v="2024-07-07T00:00:00"/>
        <d v="2026-05-27T00:00:00"/>
        <d v="2026-07-04T00:00:00"/>
        <d v="2023-10-30T00:00:00"/>
        <d v="2026-02-18T00:00:00"/>
        <d v="2025-07-19T00:00:00"/>
        <d v="2023-02-08T00:00:00"/>
        <d v="2025-09-11T00:00:00"/>
        <d v="2025-03-29T00:00:00"/>
        <d v="2025-06-15T00:00:00"/>
        <d v="2025-10-25T00:00:00"/>
        <d v="2026-07-31T00:00:00"/>
        <d v="2022-08-26T00:00:00"/>
        <d v="2025-01-08T00:00:00"/>
        <d v="2026-06-05T00:00:00"/>
        <d v="2025-01-18T00:00:00"/>
        <d v="2026-05-23T00:00:00"/>
        <d v="2026-03-20T00:00:00"/>
        <d v="2026-07-19T00:00:00"/>
        <d v="2026-07-21T00:00:00"/>
        <d v="2025-04-07T00:00:00"/>
        <d v="2026-03-24T00:00:00"/>
        <d v="2025-11-13T00:00:00"/>
        <d v="2024-10-26T00:00:00"/>
        <d v="2025-07-18T00:00:00"/>
        <d v="2023-02-26T00:00:00"/>
        <d v="2024-05-08T00:00:00"/>
        <d v="2024-11-04T00:00:00"/>
        <d v="2025-05-17T00:00:00"/>
        <d v="2026-06-26T00:00:00"/>
        <d v="2026-02-09T00:00:00"/>
        <d v="2024-08-13T00:00:00"/>
        <d v="2025-05-19T00:00:00"/>
        <d v="2026-07-25T00:00:00"/>
        <d v="2026-06-06T00:00:00"/>
        <d v="2026-02-10T00:00:00"/>
        <d v="2023-11-13T00:00:00"/>
        <d v="2025-03-26T00:00:00"/>
        <d v="2025-03-19T00:00:00"/>
        <d v="2026-01-20T00:00:00"/>
        <d v="2024-03-24T00:00:00"/>
        <d v="2024-06-26T00:00:00"/>
        <d v="2026-04-23T00:00:00"/>
        <d v="2026-07-09T00:00:00"/>
        <d v="2023-07-08T00:00:00"/>
        <d v="2026-05-18T00:00:00"/>
        <d v="2024-07-06T00:00:00"/>
        <d v="2026-04-16T00:00:00"/>
        <d v="2026-06-08T00:00:00"/>
        <d v="2026-01-30T00:00:00"/>
        <d v="2025-12-19T00:00:00"/>
        <d v="2025-10-01T00:00:00"/>
        <d v="2025-04-21T00:00:00"/>
        <d v="2025-10-22T00:00:00"/>
        <d v="2024-11-21T00:00:00"/>
        <d v="2024-10-18T00:00:00"/>
        <d v="2025-05-15T00:00:00"/>
        <d v="2023-11-12T00:00:00"/>
        <d v="2024-06-13T00:00:00"/>
        <d v="2023-08-22T00:00:00"/>
        <d v="2025-10-13T00:00:00"/>
        <d v="2022-11-01T00:00:00"/>
        <d v="2026-05-03T00:00:00"/>
        <d v="2026-07-03T00:00:00"/>
        <d v="2024-02-13T00:00:00"/>
        <d v="2026-06-29T00:00:00"/>
        <d v="2025-02-20T00:00:00"/>
        <d v="2025-05-24T00:00:00"/>
        <d v="2025-11-23T00:00:00"/>
        <d v="2026-06-21T00:00:00"/>
        <d v="2025-07-21T00:00:00"/>
        <d v="2023-09-11T00:00:00"/>
        <d v="2026-05-13T00:00:00"/>
        <d v="2026-03-30T00:00:00"/>
        <d v="2026-04-02T00:00:00"/>
        <d v="2023-08-03T00:00:00"/>
        <d v="2025-12-23T00:00:00"/>
        <d v="2025-03-15T00:00:00"/>
        <d v="2026-06-10T00:00:00"/>
        <d v="2026-07-05T00:00:00"/>
        <d v="2026-04-12T00:00:00"/>
        <d v="2025-07-08T00:00:00"/>
        <d v="2025-12-26T00:00:00"/>
        <d v="2025-06-21T00:00:00"/>
        <d v="2023-03-02T00:00:00"/>
        <d v="2026-03-28T00:00:00"/>
        <d v="2026-03-12T00:00:00"/>
        <d v="2026-02-04T00:00:00"/>
        <d v="2026-01-12T00:00:00"/>
        <d v="2024-11-08T00:00:00"/>
        <d v="2026-07-29T00:00:00"/>
        <d v="2026-03-07T00:00:00"/>
        <d v="2026-03-06T00:00:00"/>
        <d v="2026-06-27T00:00:00"/>
        <d v="2026-06-04T00:00:00"/>
        <d v="2025-11-16T00:00:00"/>
        <d v="2025-11-27T00:00:00"/>
        <d v="2023-01-01T00:00:00"/>
        <d v="2024-08-06T00:00:00"/>
        <d v="2025-02-15T00:00:00"/>
        <d v="2026-07-08T00:00:00"/>
        <d v="2026-05-22T00:00:00"/>
        <d v="2025-02-01T00:00:00"/>
        <d v="2026-08-07T00:00:00"/>
        <d v="2026-03-29T00:00:00"/>
        <d v="2026-05-12T00:00:00"/>
        <d v="2024-06-12T00:00:00"/>
        <d v="2025-02-19T00:00:00"/>
        <d v="2025-12-10T00:00:00"/>
        <d v="2024-03-29T00:00:00"/>
        <d v="2026-07-30T00:00:00"/>
        <d v="2024-04-12T00:00:00"/>
        <d v="2026-08-08T00:00:00"/>
        <d v="2023-03-28T00:00:00"/>
        <d v="2025-12-17T00:00:00"/>
        <d v="2024-10-01T00:00:00"/>
        <d v="2026-03-25T00:00:00"/>
        <d v="2026-04-28T00:00:00"/>
        <d v="2026-06-17T00:00:00"/>
        <d v="2025-10-09T00:00:00"/>
        <d v="2026-03-15T00:00:00"/>
        <d v="2026-04-05T00:00:00"/>
        <d v="2024-06-06T00:00:00"/>
        <d v="2026-03-03T00:00:00"/>
        <d v="2025-01-03T00:00:00"/>
        <d v="2025-05-29T00:00:00"/>
        <d v="2026-07-20T00:00:00"/>
        <d v="2026-05-21T00:00:00"/>
        <d v="2025-11-25T00:00:00"/>
        <d v="2026-03-16T00:00:00"/>
        <d v="2025-06-05T00:00:00"/>
        <d v="2026-05-30T00:00:00"/>
        <d v="2023-03-16T00:00:00"/>
        <d v="2025-04-11T00:00:00"/>
        <d v="2025-12-14T00:00:00"/>
        <d v="2026-01-14T00:00:00"/>
        <d v="2026-07-10T00:00:00"/>
        <d v="2024-11-14T00:00:00"/>
        <d v="2022-08-23T00:00:00"/>
        <d v="2024-02-25T00:00:00"/>
        <d v="2026-08-01T00:00:00"/>
        <d v="2026-06-13T00:00:00"/>
        <d v="2026-03-17T00:00:00"/>
        <d v="2025-09-09T00:00:00"/>
        <d v="2025-11-19T00:00:00"/>
        <d v="2025-04-23T00:00:00"/>
        <d v="2026-04-14T00:00:00"/>
        <d v="2025-06-08T00:00:00"/>
        <d v="2026-03-22T00:00:00"/>
        <d v="2024-01-27T00:00:00"/>
        <d v="2025-10-26T00:00:00"/>
        <d v="2026-01-07T00:00:00"/>
        <d v="2026-08-04T00:00:00"/>
        <d v="2024-11-22T00:00:00"/>
        <d v="2024-06-04T00:00:00"/>
        <d v="2024-08-02T00:00:00"/>
        <d v="2026-03-14T00:00:00"/>
        <d v="2025-01-24T00:00:00"/>
        <d v="2025-12-30T00:00:00"/>
        <d v="2024-07-19T00:00:00"/>
        <d v="2026-04-09T00:00:00"/>
        <d v="2023-03-01T00:00:00"/>
        <d v="2026-06-24T00:00:00"/>
        <d v="2023-08-24T00:00:00"/>
        <d v="2025-11-09T00:00:00"/>
        <d v="2023-11-16T00:00:00"/>
        <d v="2026-03-13T00:00:00"/>
        <d v="2026-08-06T00:00:00"/>
        <d v="2025-10-21T00:00:00"/>
        <d v="2025-09-15T00:00:00"/>
        <d v="2024-04-16T00:00:00"/>
        <d v="2026-02-13T00:00:00"/>
      </sharedItems>
      <fieldGroup par="15"/>
    </cacheField>
    <cacheField name="TEA" numFmtId="10">
      <sharedItems containsSemiMixedTypes="0" containsString="0" containsNumber="1" minValue="5.084079492167588E-3" maxValue="6.9525398417585982E-2"/>
    </cacheField>
    <cacheField name="TEM" numFmtId="10">
      <sharedItems containsSemiMixedTypes="0" containsString="0" containsNumber="1" minValue="4.2268924108790351E-4" maxValue="5.6169660956635337E-3"/>
    </cacheField>
    <cacheField name="Plazo (Meses)" numFmtId="0">
      <sharedItems containsSemiMixedTypes="0" containsString="0" containsNumber="1" containsInteger="1" minValue="0" maxValue="12"/>
    </cacheField>
    <cacheField name="MontoDepositado" numFmtId="44">
      <sharedItems containsSemiMixedTypes="0" containsString="0" containsNumber="1" containsInteger="1" minValue="395" maxValue="49743"/>
    </cacheField>
    <cacheField name="FechaVencimiento" numFmtId="14">
      <sharedItems containsDate="1" containsMixedTypes="1" minDate="2022-07-12T00:00:00" maxDate="2027-08-10T00:00:00"/>
    </cacheField>
    <cacheField name="SaldoActual" numFmtId="44">
      <sharedItems containsSemiMixedTypes="0" containsString="0" containsNumber="1" minValue="398.20263808029534" maxValue="50463.288236189379"/>
    </cacheField>
    <cacheField name="Interés Pagado" numFmtId="44">
      <sharedItems containsSemiMixedTypes="0" containsString="0" containsNumber="1" minValue="0" maxValue="2881.1799008825401"/>
    </cacheField>
    <cacheField name="Estado" numFmtId="0">
      <sharedItems/>
    </cacheField>
    <cacheField name="Meses (FechaApertura)" numFmtId="0" databaseField="0">
      <fieldGroup base="4">
        <rangePr groupBy="months" startDate="2022-04-12T00:00:00" endDate="2026-08-10T00:00:00"/>
        <groupItems count="14">
          <s v="&lt;12/04/2022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0/08/2026"/>
        </groupItems>
      </fieldGroup>
    </cacheField>
    <cacheField name="Trimestres (FechaApertura)" numFmtId="0" databaseField="0">
      <fieldGroup base="4">
        <rangePr groupBy="quarters" startDate="2022-04-12T00:00:00" endDate="2026-08-10T00:00:00"/>
        <groupItems count="6">
          <s v="&lt;12/04/2022"/>
          <s v="Trim.1"/>
          <s v="Trim.2"/>
          <s v="Trim.3"/>
          <s v="Trim.4"/>
          <s v="&gt;10/08/2026"/>
        </groupItems>
      </fieldGroup>
    </cacheField>
    <cacheField name="Años (FechaApertura)" numFmtId="0" databaseField="0">
      <fieldGroup base="4">
        <rangePr groupBy="years" startDate="2022-04-12T00:00:00" endDate="2026-08-10T00:00:00"/>
        <groupItems count="7">
          <s v="&lt;12/04/2022"/>
          <s v="2022"/>
          <s v="2023"/>
          <s v="2024"/>
          <s v="2025"/>
          <s v="2026"/>
          <s v="&gt;10/08/2026"/>
        </groupItems>
      </fieldGroup>
    </cacheField>
  </cacheFields>
  <extLst>
    <ext xmlns:x14="http://schemas.microsoft.com/office/spreadsheetml/2009/9/main" uri="{725AE2AE-9491-48be-B2B4-4EB974FC3084}">
      <x14:pivotCacheDefinition pivotCacheId="14392262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s v="CR00001"/>
    <s v="CL0009"/>
    <x v="0"/>
    <x v="0"/>
    <x v="0"/>
    <n v="6896"/>
    <n v="0.31254200328967358"/>
    <n v="2.2922585174515842E-2"/>
    <n v="11"/>
    <n v="716.38483151100957"/>
    <n v="11"/>
    <n v="11"/>
    <n v="0"/>
    <s v="NO"/>
    <s v=""/>
    <n v="0"/>
    <n v="0"/>
    <s v="Cancelado"/>
    <s v=""/>
  </r>
  <r>
    <s v="CR00002"/>
    <s v="CL0238"/>
    <x v="0"/>
    <x v="1"/>
    <x v="1"/>
    <n v="8641"/>
    <n v="0.23695868938147718"/>
    <n v="1.7879262138211116E-2"/>
    <n v="10"/>
    <n v="951.32961891640673"/>
    <n v="10"/>
    <n v="10"/>
    <n v="0"/>
    <s v="NO"/>
    <s v=""/>
    <n v="0"/>
    <n v="0"/>
    <s v="Cancelado"/>
    <s v=""/>
  </r>
  <r>
    <s v="CR00003"/>
    <s v="CL0136"/>
    <x v="0"/>
    <x v="2"/>
    <x v="2"/>
    <n v="12900"/>
    <n v="0.33381611863120969"/>
    <n v="2.4294081813362345E-2"/>
    <n v="18"/>
    <n v="893.28299331617518"/>
    <n v="1"/>
    <n v="1"/>
    <n v="17"/>
    <s v="NO"/>
    <s v=""/>
    <n v="12900.000000000013"/>
    <n v="176.61632664950855"/>
    <s v="Vigente"/>
    <s v=""/>
  </r>
  <r>
    <s v="CR00004"/>
    <s v="CL0237"/>
    <x v="0"/>
    <x v="3"/>
    <x v="3"/>
    <n v="8972"/>
    <n v="0.25007806004798405"/>
    <n v="1.8774566648281921E-2"/>
    <n v="16"/>
    <n v="654.39171124693257"/>
    <n v="16"/>
    <n v="16"/>
    <n v="0"/>
    <s v="NO"/>
    <s v=""/>
    <n v="0"/>
    <n v="0"/>
    <s v="Cancelado"/>
    <s v=""/>
  </r>
  <r>
    <s v="CR00005"/>
    <s v="CL0027"/>
    <x v="1"/>
    <x v="4"/>
    <x v="4"/>
    <n v="12380"/>
    <n v="0.40821551985828619"/>
    <n v="2.8937732967772467E-2"/>
    <n v="28"/>
    <n v="651.2306285570919"/>
    <n v="28"/>
    <n v="28"/>
    <n v="0"/>
    <s v="NO"/>
    <s v=""/>
    <n v="0"/>
    <n v="0"/>
    <s v="Cancelado"/>
    <s v=""/>
  </r>
  <r>
    <s v="CR00006"/>
    <s v="CL0003"/>
    <x v="2"/>
    <x v="0"/>
    <x v="5"/>
    <n v="80558"/>
    <n v="0.28977336419028182"/>
    <n v="2.1431978277951069E-2"/>
    <n v="57"/>
    <n v="2461.4615380417181"/>
    <n v="16"/>
    <n v="16"/>
    <n v="41"/>
    <s v="NO"/>
    <s v=""/>
    <n v="80557.999999999956"/>
    <n v="16770.612678842928"/>
    <s v="Vigente"/>
    <s v=""/>
  </r>
  <r>
    <s v="CR00007"/>
    <s v="CL0214"/>
    <x v="2"/>
    <x v="5"/>
    <x v="6"/>
    <n v="24881"/>
    <n v="0.33701776992477567"/>
    <n v="2.4498747085357708E-2"/>
    <n v="43"/>
    <n v="942.39940363422329"/>
    <n v="7"/>
    <n v="7"/>
    <n v="36"/>
    <s v="NO"/>
    <s v=""/>
    <n v="24881"/>
    <n v="2546.4004766023536"/>
    <s v="Vigente"/>
    <s v=""/>
  </r>
  <r>
    <s v="CR00008"/>
    <s v="CL0118"/>
    <x v="3"/>
    <x v="6"/>
    <x v="7"/>
    <n v="46457"/>
    <n v="0.41910273013537203"/>
    <n v="2.9598306661947404E-2"/>
    <n v="12"/>
    <n v="4655.9828566199458"/>
    <n v="1"/>
    <n v="1"/>
    <n v="11"/>
    <s v="NO"/>
    <s v=""/>
    <n v="46456.99999999992"/>
    <n v="784.56618995327881"/>
    <s v="Vigente"/>
    <s v=""/>
  </r>
  <r>
    <s v="CR00009"/>
    <s v="CL0184"/>
    <x v="3"/>
    <x v="7"/>
    <x v="8"/>
    <n v="7231"/>
    <n v="0.31090565759893024"/>
    <n v="2.2816251296566392E-2"/>
    <n v="29"/>
    <n v="343.60221199886598"/>
    <n v="3"/>
    <n v="3"/>
    <n v="26"/>
    <s v="NO"/>
    <s v=""/>
    <n v="7230.9999999999991"/>
    <n v="282.77215323797725"/>
    <s v="Vigente"/>
    <s v=""/>
  </r>
  <r>
    <s v="CR00010"/>
    <s v="CL0057"/>
    <x v="3"/>
    <x v="5"/>
    <x v="9"/>
    <n v="6387"/>
    <n v="0.37199555459622724"/>
    <n v="2.6705902287239347E-2"/>
    <n v="7"/>
    <n v="1012.4648430497772"/>
    <n v="6"/>
    <n v="6"/>
    <n v="1"/>
    <s v="NO"/>
    <s v=""/>
    <n v="6387.0000000000018"/>
    <n v="600.21762972723445"/>
    <s v="Vigente"/>
    <s v=""/>
  </r>
  <r>
    <s v="CR00011"/>
    <s v="CL0029"/>
    <x v="2"/>
    <x v="1"/>
    <x v="10"/>
    <n v="53903"/>
    <n v="0.28000416173121484"/>
    <n v="2.0785005066670692E-2"/>
    <n v="13"/>
    <n v="4774.4544981050631"/>
    <n v="1"/>
    <n v="6"/>
    <n v="12"/>
    <s v="SI"/>
    <n v="1"/>
    <n v="53903.000000000036"/>
    <n v="628.06988272044748"/>
    <s v="En mora"/>
    <n v="179"/>
  </r>
  <r>
    <s v="CR00012"/>
    <s v="CL0060"/>
    <x v="3"/>
    <x v="7"/>
    <x v="11"/>
    <n v="22972"/>
    <n v="0.3257187633833552"/>
    <n v="2.3774442414101093E-2"/>
    <n v="41"/>
    <n v="883.18064850100814"/>
    <n v="13"/>
    <n v="13"/>
    <n v="28"/>
    <s v="NO"/>
    <s v=""/>
    <n v="22972.000000000022"/>
    <n v="4197.5435524643262"/>
    <s v="Vigente"/>
    <s v=""/>
  </r>
  <r>
    <s v="CR00013"/>
    <s v="CL0249"/>
    <x v="1"/>
    <x v="3"/>
    <x v="12"/>
    <n v="9837"/>
    <n v="0.36565073271471316"/>
    <n v="2.6309392592427372E-2"/>
    <n v="34"/>
    <n v="441.31563241937369"/>
    <n v="11"/>
    <n v="11"/>
    <n v="23"/>
    <s v="NO"/>
    <s v=""/>
    <n v="9837.0000000000073"/>
    <n v="1671.9131330836985"/>
    <s v="Vigente"/>
    <s v=""/>
  </r>
  <r>
    <s v="CR00014"/>
    <s v="CL0227"/>
    <x v="3"/>
    <x v="6"/>
    <x v="13"/>
    <n v="14060"/>
    <n v="0.37776402044309076"/>
    <n v="2.706493744047167E-2"/>
    <n v="19"/>
    <n v="956.25748809910851"/>
    <n v="2"/>
    <n v="2"/>
    <n v="17"/>
    <s v="NO"/>
    <s v=""/>
    <n v="14060.000000000011"/>
    <n v="432.51497619821708"/>
    <s v="Vigente"/>
    <s v=""/>
  </r>
  <r>
    <s v="CR00015"/>
    <s v="CL0168"/>
    <x v="2"/>
    <x v="1"/>
    <x v="14"/>
    <n v="23426"/>
    <n v="0.26507056991414207"/>
    <n v="1.9787214460861735E-2"/>
    <n v="59"/>
    <n v="676.42555181494117"/>
    <n v="45"/>
    <n v="45"/>
    <n v="14"/>
    <s v="NO"/>
    <s v=""/>
    <n v="23426.000000000036"/>
    <n v="12571.861696079133"/>
    <s v="Vigente"/>
    <s v=""/>
  </r>
  <r>
    <s v="CR00016"/>
    <s v="CL0016"/>
    <x v="2"/>
    <x v="2"/>
    <x v="15"/>
    <n v="71007"/>
    <n v="0.30252263008230285"/>
    <n v="2.2269585278283044E-2"/>
    <n v="42"/>
    <n v="2620.2425621971465"/>
    <n v="8"/>
    <n v="8"/>
    <n v="34"/>
    <s v="NO"/>
    <s v=""/>
    <n v="71007"/>
    <n v="7436.7976404343135"/>
    <s v="Vigente"/>
    <s v=""/>
  </r>
  <r>
    <s v="CR00017"/>
    <s v="CL0148"/>
    <x v="1"/>
    <x v="6"/>
    <x v="16"/>
    <n v="800"/>
    <n v="0.35532942933804856"/>
    <n v="2.5660756621726177E-2"/>
    <n v="15"/>
    <n v="64.927641147759388"/>
    <n v="10"/>
    <n v="10"/>
    <n v="5"/>
    <s v="NO"/>
    <s v=""/>
    <n v="800"/>
    <n v="115.94307814426057"/>
    <s v="Vigente"/>
    <s v=""/>
  </r>
  <r>
    <s v="CR00018"/>
    <s v="CL0001"/>
    <x v="2"/>
    <x v="7"/>
    <x v="17"/>
    <n v="23587"/>
    <n v="0.34724703797403744"/>
    <n v="2.5149654788838793E-2"/>
    <n v="46"/>
    <n v="871.07437406343092"/>
    <n v="13"/>
    <n v="13"/>
    <n v="33"/>
    <s v="NO"/>
    <s v=""/>
    <n v="23586.99999999996"/>
    <n v="4658.0755584767758"/>
    <s v="Vigente"/>
    <s v=""/>
  </r>
  <r>
    <s v="CR00019"/>
    <s v="CL0039"/>
    <x v="1"/>
    <x v="2"/>
    <x v="18"/>
    <n v="8130"/>
    <n v="0.40370062094397663"/>
    <n v="2.8662420566254898E-2"/>
    <n v="11"/>
    <n v="872.17251342528925"/>
    <n v="11"/>
    <n v="11"/>
    <n v="0"/>
    <s v="NO"/>
    <s v=""/>
    <n v="0"/>
    <n v="0"/>
    <s v="Cancelado"/>
    <s v=""/>
  </r>
  <r>
    <s v="CR00020"/>
    <s v="CL0162"/>
    <x v="3"/>
    <x v="3"/>
    <x v="19"/>
    <n v="28095"/>
    <n v="0.3538526398257214"/>
    <n v="2.5567578658982404E-2"/>
    <n v="30"/>
    <n v="1352.4917805808298"/>
    <n v="7"/>
    <n v="7"/>
    <n v="23"/>
    <s v="NO"/>
    <s v=""/>
    <n v="28095.000000000011"/>
    <n v="2911.9424640658085"/>
    <s v="Vigente"/>
    <s v=""/>
  </r>
  <r>
    <s v="CR00021"/>
    <s v="CL0100"/>
    <x v="1"/>
    <x v="2"/>
    <x v="20"/>
    <n v="1049"/>
    <n v="0.49260134907912534"/>
    <n v="3.3939957063938264E-2"/>
    <n v="16"/>
    <n v="86.0473477442183"/>
    <n v="9"/>
    <n v="9"/>
    <n v="7"/>
    <s v="NO"/>
    <s v=""/>
    <n v="1048.9999999999993"/>
    <n v="184.36362969796471"/>
    <s v="Vigente"/>
    <s v=""/>
  </r>
  <r>
    <s v="CR00022"/>
    <s v="CL0235"/>
    <x v="2"/>
    <x v="6"/>
    <x v="11"/>
    <n v="21740"/>
    <n v="0.22680242956120242"/>
    <n v="1.7180171478925255E-2"/>
    <n v="42"/>
    <n v="730.88145627834069"/>
    <n v="5"/>
    <n v="13"/>
    <n v="37"/>
    <s v="SI"/>
    <n v="5"/>
    <n v="21739.999999999945"/>
    <n v="1066.3120432964652"/>
    <s v="En mora"/>
    <n v="243"/>
  </r>
  <r>
    <s v="CR00023"/>
    <s v="CL0082"/>
    <x v="0"/>
    <x v="1"/>
    <x v="21"/>
    <n v="19322"/>
    <n v="0.3714977521567191"/>
    <n v="2.6674853734462767E-2"/>
    <n v="22"/>
    <n v="1172.3783478277976"/>
    <n v="5"/>
    <n v="5"/>
    <n v="17"/>
    <s v="NO"/>
    <s v=""/>
    <n v="19321.999999999996"/>
    <n v="1470.5281027753517"/>
    <s v="Vigente"/>
    <s v=""/>
  </r>
  <r>
    <s v="CR00024"/>
    <s v="CL0021"/>
    <x v="3"/>
    <x v="7"/>
    <x v="22"/>
    <n v="17386"/>
    <n v="0.30611137824348594"/>
    <n v="2.2504004966770186E-2"/>
    <n v="47"/>
    <n v="603.18613125773322"/>
    <n v="3"/>
    <n v="3"/>
    <n v="44"/>
    <s v="NO"/>
    <s v=""/>
    <n v="17385.999999999975"/>
    <n v="699.81371292213566"/>
    <s v="Vigente"/>
    <s v=""/>
  </r>
  <r>
    <s v="CR00025"/>
    <s v="CL0137"/>
    <x v="3"/>
    <x v="3"/>
    <x v="23"/>
    <n v="30980"/>
    <n v="0.39750211774365418"/>
    <n v="2.8283119085028341E-2"/>
    <n v="34"/>
    <n v="1430.3325352904005"/>
    <n v="4"/>
    <n v="4"/>
    <n v="30"/>
    <s v="NO"/>
    <s v=""/>
    <n v="30980.000000000011"/>
    <n v="2076.6242588086607"/>
    <s v="Vigente"/>
    <s v=""/>
  </r>
  <r>
    <s v="CR00026"/>
    <s v="CL0066"/>
    <x v="0"/>
    <x v="0"/>
    <x v="24"/>
    <n v="16237"/>
    <n v="0.37084950333101274"/>
    <n v="2.6634406165976232E-2"/>
    <n v="14"/>
    <n v="1404.6270210902994"/>
    <n v="1"/>
    <n v="13"/>
    <n v="13"/>
    <s v="SI"/>
    <n v="1"/>
    <n v="16236.999999999987"/>
    <n v="244.84130680458526"/>
    <s v="En mora"/>
    <n v="377"/>
  </r>
  <r>
    <s v="CR00027"/>
    <s v="CL0248"/>
    <x v="4"/>
    <x v="6"/>
    <x v="25"/>
    <n v="42798"/>
    <n v="0.12323904739675211"/>
    <n v="9.7317584057108331E-3"/>
    <n v="117"/>
    <n v="614.33352655765816"/>
    <n v="8"/>
    <n v="8"/>
    <n v="109"/>
    <s v="NO"/>
    <s v=""/>
    <n v="42797.999999999847"/>
    <n v="1988.3092381022911"/>
    <s v="Vigente"/>
    <s v=""/>
  </r>
  <r>
    <s v="CR00028"/>
    <s v="CL0245"/>
    <x v="3"/>
    <x v="0"/>
    <x v="26"/>
    <n v="27901"/>
    <n v="0.43886450432698343"/>
    <n v="3.0785557417471798E-2"/>
    <n v="11"/>
    <n v="3028.6040576561459"/>
    <n v="11"/>
    <n v="11"/>
    <n v="0"/>
    <s v="NO"/>
    <s v=""/>
    <n v="0"/>
    <n v="0"/>
    <s v="Cancelado"/>
    <s v=""/>
  </r>
  <r>
    <s v="CR00029"/>
    <s v="CL0001"/>
    <x v="3"/>
    <x v="7"/>
    <x v="27"/>
    <n v="4103"/>
    <n v="0.33970595101459689"/>
    <n v="2.4670242158567168E-2"/>
    <n v="39"/>
    <n v="165.00771867960268"/>
    <n v="9"/>
    <n v="9"/>
    <n v="30"/>
    <s v="NO"/>
    <s v=""/>
    <n v="4103.0000000000045"/>
    <n v="538.22331427027041"/>
    <s v="Vigente"/>
    <s v=""/>
  </r>
  <r>
    <s v="CR00030"/>
    <s v="CL0131"/>
    <x v="1"/>
    <x v="1"/>
    <x v="28"/>
    <n v="10514"/>
    <n v="0.5291845274895377"/>
    <n v="3.6028393583432239E-2"/>
    <n v="32"/>
    <n v="558.85928407594042"/>
    <n v="1"/>
    <n v="1"/>
    <n v="31"/>
    <s v="NO"/>
    <s v=""/>
    <n v="10513.999999999996"/>
    <n v="230.29678407594042"/>
    <s v="Vigente"/>
    <s v=""/>
  </r>
  <r>
    <s v="CR00031"/>
    <s v="CL0019"/>
    <x v="0"/>
    <x v="3"/>
    <x v="29"/>
    <n v="13074"/>
    <n v="0.24960744867183354"/>
    <n v="1.8742600001356635E-2"/>
    <n v="13"/>
    <n v="1142.5327538119711"/>
    <n v="8"/>
    <n v="8"/>
    <n v="5"/>
    <s v="NO"/>
    <s v=""/>
    <n v="13073.999999999991"/>
    <n v="1094.7235689573081"/>
    <s v="Vigente"/>
    <s v=""/>
  </r>
  <r>
    <s v="CR00032"/>
    <s v="CL0190"/>
    <x v="3"/>
    <x v="6"/>
    <x v="30"/>
    <n v="33688"/>
    <n v="0.27150707127533669"/>
    <n v="2.0218587290813828E-2"/>
    <n v="18"/>
    <n v="2251.3812974234825"/>
    <n v="18"/>
    <n v="18"/>
    <n v="0"/>
    <s v="NO"/>
    <s v=""/>
    <n v="0"/>
    <n v="0"/>
    <s v="Cancelado"/>
    <s v=""/>
  </r>
  <r>
    <s v="CR00033"/>
    <s v="CL0214"/>
    <x v="1"/>
    <x v="5"/>
    <x v="31"/>
    <n v="6830"/>
    <n v="0.477740510802589"/>
    <n v="3.3078162979715442E-2"/>
    <n v="35"/>
    <n v="332.30890992924742"/>
    <n v="6"/>
    <n v="6"/>
    <n v="29"/>
    <s v="NO"/>
    <s v=""/>
    <n v="6830.0000000000045"/>
    <n v="822.99631671834152"/>
    <s v="Vigente"/>
    <s v=""/>
  </r>
  <r>
    <s v="CR00034"/>
    <s v="CL0010"/>
    <x v="4"/>
    <x v="3"/>
    <x v="32"/>
    <n v="185989"/>
    <n v="0.12236825118050645"/>
    <n v="9.6665019509996064E-3"/>
    <n v="176"/>
    <n v="2203.1072564260649"/>
    <n v="5"/>
    <n v="5"/>
    <n v="171"/>
    <s v="NO"/>
    <s v=""/>
    <n v="185989.0000000002"/>
    <n v="5731.7578730394152"/>
    <s v="Vigente"/>
    <s v=""/>
  </r>
  <r>
    <s v="CR00035"/>
    <s v="CL0108"/>
    <x v="4"/>
    <x v="0"/>
    <x v="33"/>
    <n v="179132"/>
    <n v="0.11234511065758408"/>
    <n v="8.9120192489482442E-3"/>
    <n v="71"/>
    <n v="3415.6824229508607"/>
    <n v="23"/>
    <n v="23"/>
    <n v="48"/>
    <s v="NO"/>
    <s v=""/>
    <n v="179131.99999999962"/>
    <n v="20532.019671531765"/>
    <s v="Vigente"/>
    <s v=""/>
  </r>
  <r>
    <s v="CR00036"/>
    <s v="CL0176"/>
    <x v="2"/>
    <x v="2"/>
    <x v="34"/>
    <n v="98719"/>
    <n v="0.29551754224776827"/>
    <n v="2.1810296974245302E-2"/>
    <n v="14"/>
    <n v="8258.6370755155222"/>
    <n v="14"/>
    <n v="14"/>
    <n v="0"/>
    <s v="NO"/>
    <s v=""/>
    <n v="0"/>
    <n v="0"/>
    <s v="Cancelado"/>
    <s v=""/>
  </r>
  <r>
    <s v="CR00037"/>
    <s v="CL0127"/>
    <x v="1"/>
    <x v="1"/>
    <x v="35"/>
    <n v="10344"/>
    <n v="0.43072555114824462"/>
    <n v="3.0298405646123294E-2"/>
    <n v="24"/>
    <n v="612.75151335783426"/>
    <n v="3"/>
    <n v="14"/>
    <n v="21"/>
    <s v="SI"/>
    <n v="3"/>
    <n v="10344"/>
    <n v="545.25454007350277"/>
    <s v="En mora"/>
    <n v="339"/>
  </r>
  <r>
    <s v="CR00038"/>
    <s v="CL0040"/>
    <x v="2"/>
    <x v="2"/>
    <x v="36"/>
    <n v="27960"/>
    <n v="0.2546044862097524"/>
    <n v="1.9081465648463691E-2"/>
    <n v="38"/>
    <n v="1041.2088761915925"/>
    <n v="4"/>
    <n v="4"/>
    <n v="34"/>
    <s v="NO"/>
    <s v=""/>
    <n v="27959.999999999993"/>
    <n v="1221.6776100295276"/>
    <s v="Vigente"/>
    <s v=""/>
  </r>
  <r>
    <s v="CR00039"/>
    <s v="CL0031"/>
    <x v="4"/>
    <x v="7"/>
    <x v="37"/>
    <n v="75554"/>
    <n v="0.12411913644515352"/>
    <n v="9.7976641519450514E-3"/>
    <n v="82"/>
    <n v="1344.824689644739"/>
    <n v="33"/>
    <n v="33"/>
    <n v="49"/>
    <s v="NO"/>
    <s v=""/>
    <n v="75553.999999999942"/>
    <n v="13973.336709495899"/>
    <s v="Vigente"/>
    <s v=""/>
  </r>
  <r>
    <s v="CR00040"/>
    <s v="CL0111"/>
    <x v="4"/>
    <x v="6"/>
    <x v="38"/>
    <n v="111764"/>
    <n v="0.11798687653549855"/>
    <n v="9.3374609632164152E-3"/>
    <n v="213"/>
    <n v="1210.8285028798211"/>
    <n v="25"/>
    <n v="25"/>
    <n v="188"/>
    <s v="NO"/>
    <s v=""/>
    <n v="111763.99999999991"/>
    <n v="17152.872196408673"/>
    <s v="Vigente"/>
    <s v=""/>
  </r>
  <r>
    <s v="CR00041"/>
    <s v="CL0150"/>
    <x v="3"/>
    <x v="3"/>
    <x v="39"/>
    <n v="35157"/>
    <n v="0.25223684247929851"/>
    <n v="1.8921062419182011E-2"/>
    <n v="48"/>
    <n v="1121.1641805620663"/>
    <n v="31"/>
    <n v="31"/>
    <n v="17"/>
    <s v="NO"/>
    <s v=""/>
    <n v="35157.000000000007"/>
    <n v="12050.527097424056"/>
    <s v="Vigente"/>
    <s v=""/>
  </r>
  <r>
    <s v="CR00042"/>
    <s v="CL0068"/>
    <x v="2"/>
    <x v="3"/>
    <x v="40"/>
    <n v="11446"/>
    <n v="0.24817028769552738"/>
    <n v="1.8644911360530703E-2"/>
    <n v="32"/>
    <n v="478.16883538890073"/>
    <n v="24"/>
    <n v="24"/>
    <n v="8"/>
    <s v="NO"/>
    <s v=""/>
    <n v="11446.000000000018"/>
    <n v="2891.5520493336176"/>
    <s v="Vigente"/>
    <s v=""/>
  </r>
  <r>
    <s v="CR00043"/>
    <s v="CL0006"/>
    <x v="2"/>
    <x v="3"/>
    <x v="41"/>
    <n v="88245"/>
    <n v="0.31535230441136491"/>
    <n v="2.3104922402952699E-2"/>
    <n v="37"/>
    <n v="3573.8122778447751"/>
    <n v="6"/>
    <n v="6"/>
    <n v="31"/>
    <s v="NO"/>
    <s v=""/>
    <n v="88245.000000000044"/>
    <n v="7132.8736670686512"/>
    <s v="Vigente"/>
    <s v=""/>
  </r>
  <r>
    <s v="CR00044"/>
    <s v="CL0198"/>
    <x v="3"/>
    <x v="3"/>
    <x v="42"/>
    <n v="17220"/>
    <n v="0.36689347004289585"/>
    <n v="2.6387188309833665E-2"/>
    <n v="39"/>
    <n v="712.34905055526588"/>
    <n v="6"/>
    <n v="6"/>
    <n v="33"/>
    <s v="NO"/>
    <s v=""/>
    <n v="17220.000000000004"/>
    <n v="1624.8635341008262"/>
    <s v="Vigente"/>
    <s v=""/>
  </r>
  <r>
    <s v="CR00045"/>
    <s v="CL0172"/>
    <x v="1"/>
    <x v="6"/>
    <x v="43"/>
    <n v="14362"/>
    <n v="0.44371432204828665"/>
    <n v="3.1074640448629953E-2"/>
    <n v="17"/>
    <n v="1100.2910126659665"/>
    <n v="17"/>
    <n v="17"/>
    <n v="0"/>
    <s v="NO"/>
    <s v=""/>
    <n v="0"/>
    <n v="0"/>
    <s v="Cancelado"/>
    <s v=""/>
  </r>
  <r>
    <s v="CR00046"/>
    <s v="CL0178"/>
    <x v="3"/>
    <x v="7"/>
    <x v="44"/>
    <n v="19557"/>
    <n v="0.4328067162318493"/>
    <n v="3.042321369874923E-2"/>
    <n v="45"/>
    <n v="803.59649068687713"/>
    <n v="35"/>
    <n v="35"/>
    <n v="10"/>
    <s v="NO"/>
    <s v=""/>
    <n v="19557"/>
    <n v="12914.877174040697"/>
    <s v="Vigente"/>
    <s v=""/>
  </r>
  <r>
    <s v="CR00047"/>
    <s v="CL0235"/>
    <x v="3"/>
    <x v="6"/>
    <x v="45"/>
    <n v="47168"/>
    <n v="0.37901680727240128"/>
    <n v="2.7142730001408655E-2"/>
    <n v="28"/>
    <n v="2426.7279929769193"/>
    <n v="14"/>
    <n v="14"/>
    <n v="14"/>
    <s v="NO"/>
    <s v=""/>
    <n v="47168.000000000058"/>
    <n v="10390.191901676866"/>
    <s v="Vigente"/>
    <s v=""/>
  </r>
  <r>
    <s v="CR00048"/>
    <s v="CL0174"/>
    <x v="0"/>
    <x v="4"/>
    <x v="29"/>
    <n v="16164"/>
    <n v="0.23602966641701378"/>
    <n v="1.7815533326820399E-2"/>
    <n v="18"/>
    <n v="1057.5757287861652"/>
    <n v="8"/>
    <n v="8"/>
    <n v="10"/>
    <s v="NO"/>
    <s v=""/>
    <n v="16163.999999999967"/>
    <n v="1276.6058302893216"/>
    <s v="Vigente"/>
    <s v=""/>
  </r>
  <r>
    <s v="CR00049"/>
    <s v="CL0102"/>
    <x v="1"/>
    <x v="6"/>
    <x v="46"/>
    <n v="5844"/>
    <n v="0.39581595399795377"/>
    <n v="2.8179671818742813E-2"/>
    <n v="25"/>
    <n v="328.83793478360212"/>
    <n v="25"/>
    <n v="25"/>
    <n v="0"/>
    <s v="NO"/>
    <s v=""/>
    <n v="0"/>
    <n v="0"/>
    <s v="Cancelado"/>
    <s v=""/>
  </r>
  <r>
    <s v="CR00050"/>
    <s v="CL0202"/>
    <x v="2"/>
    <x v="4"/>
    <x v="47"/>
    <n v="53543"/>
    <n v="0.31648604868374342"/>
    <n v="2.3178380628906536E-2"/>
    <n v="46"/>
    <n v="1904.9782974181462"/>
    <n v="14"/>
    <n v="14"/>
    <n v="32"/>
    <s v="NO"/>
    <s v=""/>
    <n v="53543.000000000102"/>
    <n v="10374.000511680137"/>
    <s v="Vigente"/>
    <s v=""/>
  </r>
  <r>
    <s v="CR00051"/>
    <s v="CL0222"/>
    <x v="4"/>
    <x v="4"/>
    <x v="48"/>
    <n v="274484"/>
    <n v="0.12152458880310056"/>
    <n v="9.6032345957173249E-3"/>
    <n v="63"/>
    <n v="5827.2122455272138"/>
    <n v="3"/>
    <n v="3"/>
    <n v="60"/>
    <s v="NO"/>
    <s v=""/>
    <n v="274484.00000000023"/>
    <n v="4410.9700699149753"/>
    <s v="Vigente"/>
    <s v=""/>
  </r>
  <r>
    <s v="CR00052"/>
    <s v="CL0118"/>
    <x v="1"/>
    <x v="6"/>
    <x v="49"/>
    <n v="5048"/>
    <n v="0.48209685486319442"/>
    <n v="3.333161154492803E-2"/>
    <n v="11"/>
    <n v="555.69057404268847"/>
    <n v="2"/>
    <n v="2"/>
    <n v="9"/>
    <s v="NO"/>
    <s v=""/>
    <n v="5047.9999999999964"/>
    <n v="193.56296626719515"/>
    <s v="Vigente"/>
    <s v=""/>
  </r>
  <r>
    <s v="CR00053"/>
    <s v="CL0148"/>
    <x v="4"/>
    <x v="6"/>
    <x v="50"/>
    <n v="124922"/>
    <n v="0.12982130614252749"/>
    <n v="1.0223530478814302E-2"/>
    <n v="202"/>
    <n v="1464.8419412472774"/>
    <n v="4"/>
    <n v="7"/>
    <n v="198"/>
    <s v="SI"/>
    <n v="4"/>
    <n v="124922.00000000015"/>
    <n v="3385.6647946920802"/>
    <s v="En mora"/>
    <n v="96"/>
  </r>
  <r>
    <s v="CR00054"/>
    <s v="CL0029"/>
    <x v="4"/>
    <x v="1"/>
    <x v="51"/>
    <n v="237864"/>
    <n v="0.10995039559978809"/>
    <n v="8.7308371644365668E-3"/>
    <n v="72"/>
    <n v="4464.0614276236711"/>
    <n v="9"/>
    <n v="9"/>
    <n v="63"/>
    <s v="NO"/>
    <s v=""/>
    <n v="237863.99999999977"/>
    <n v="10443.552848613042"/>
    <s v="Vigente"/>
    <s v=""/>
  </r>
  <r>
    <s v="CR00055"/>
    <s v="CL0086"/>
    <x v="3"/>
    <x v="3"/>
    <x v="52"/>
    <n v="15767"/>
    <n v="0.34474573272293452"/>
    <n v="2.4990911518632197E-2"/>
    <n v="31"/>
    <n v="736.8420905635727"/>
    <n v="1"/>
    <n v="1"/>
    <n v="30"/>
    <s v="NO"/>
    <s v=""/>
    <n v="15766.999999999987"/>
    <n v="228.22918733776626"/>
    <s v="Vigente"/>
    <s v=""/>
  </r>
  <r>
    <s v="CR00056"/>
    <s v="CL0019"/>
    <x v="4"/>
    <x v="3"/>
    <x v="53"/>
    <n v="171300"/>
    <n v="0.13216852799639225"/>
    <n v="1.0398260460835029E-2"/>
    <n v="234"/>
    <n v="1954.9499348872214"/>
    <n v="5"/>
    <n v="5"/>
    <n v="229"/>
    <s v="NO"/>
    <s v=""/>
    <n v="171299.9999999998"/>
    <n v="6114.4932641796968"/>
    <s v="Vigente"/>
    <s v=""/>
  </r>
  <r>
    <s v="CR00057"/>
    <s v="CL0135"/>
    <x v="4"/>
    <x v="6"/>
    <x v="54"/>
    <n v="138948"/>
    <n v="0.10509755844991264"/>
    <n v="8.36257420440778E-3"/>
    <n v="153"/>
    <n v="1613.092657840933"/>
    <n v="13"/>
    <n v="13"/>
    <n v="140"/>
    <s v="NO"/>
    <s v=""/>
    <n v="138947.99999999971"/>
    <n v="9164.1653362458546"/>
    <s v="Vigente"/>
    <s v=""/>
  </r>
  <r>
    <s v="CR00058"/>
    <s v="CL0067"/>
    <x v="4"/>
    <x v="2"/>
    <x v="55"/>
    <n v="73442"/>
    <n v="0.12276786019661368"/>
    <n v="9.6964539454593712E-3"/>
    <n v="190"/>
    <n v="847.62978494257004"/>
    <n v="3"/>
    <n v="3"/>
    <n v="187"/>
    <s v="SI"/>
    <n v="3"/>
    <n v="73442.000000000204"/>
    <n v="1383.2788285119204"/>
    <s v="En mora"/>
    <n v="16"/>
  </r>
  <r>
    <s v="CR00059"/>
    <s v="CL0105"/>
    <x v="1"/>
    <x v="1"/>
    <x v="56"/>
    <n v="5495"/>
    <n v="0.39485033245228235"/>
    <n v="2.8120378699345583E-2"/>
    <n v="14"/>
    <n v="480.24077740095828"/>
    <n v="14"/>
    <n v="14"/>
    <n v="0"/>
    <s v="NO"/>
    <s v=""/>
    <n v="0"/>
    <n v="0"/>
    <s v="Cancelado"/>
    <s v=""/>
  </r>
  <r>
    <s v="CR00060"/>
    <s v="CL0032"/>
    <x v="3"/>
    <x v="0"/>
    <x v="57"/>
    <n v="15725"/>
    <n v="0.33701459678353107"/>
    <n v="2.4498544465090921E-2"/>
    <n v="34"/>
    <n v="686.88696651388807"/>
    <n v="21"/>
    <n v="21"/>
    <n v="13"/>
    <s v="NO"/>
    <s v=""/>
    <n v="15724.999999999993"/>
    <n v="4712.12629679165"/>
    <s v="Vigente"/>
    <s v=""/>
  </r>
  <r>
    <s v="CR00061"/>
    <s v="CL0238"/>
    <x v="3"/>
    <x v="1"/>
    <x v="58"/>
    <n v="45950"/>
    <n v="0.38758044889461185"/>
    <n v="2.7672766170076635E-2"/>
    <n v="31"/>
    <n v="2227.0699704868616"/>
    <n v="5"/>
    <n v="23"/>
    <n v="26"/>
    <s v="SI"/>
    <n v="5"/>
    <n v="45950.000000000036"/>
    <n v="3724.0595298536632"/>
    <s v="En mora"/>
    <n v="561"/>
  </r>
  <r>
    <s v="CR00062"/>
    <s v="CL0113"/>
    <x v="4"/>
    <x v="2"/>
    <x v="59"/>
    <n v="196099"/>
    <n v="0.13473418583037072"/>
    <n v="1.0588871628030683E-2"/>
    <n v="113"/>
    <n v="2984.0500022935876"/>
    <n v="3"/>
    <n v="3"/>
    <n v="110"/>
    <s v="NO"/>
    <s v=""/>
    <n v="196099.00000000026"/>
    <n v="3745.9818652878425"/>
    <s v="Vigente"/>
    <s v=""/>
  </r>
  <r>
    <s v="CR00063"/>
    <s v="CL0240"/>
    <x v="2"/>
    <x v="4"/>
    <x v="60"/>
    <n v="68305"/>
    <n v="0.26681464737873084"/>
    <n v="1.9904300487655791E-2"/>
    <n v="54"/>
    <n v="2075.5987497142178"/>
    <n v="2"/>
    <n v="2"/>
    <n v="52"/>
    <s v="NO"/>
    <s v=""/>
    <n v="68305.000000000073"/>
    <n v="1621.3826846136205"/>
    <s v="Vigente"/>
    <s v=""/>
  </r>
  <r>
    <s v="CR00064"/>
    <s v="CL0064"/>
    <x v="2"/>
    <x v="3"/>
    <x v="61"/>
    <n v="28642"/>
    <n v="0.27534212813579356"/>
    <n v="2.047466123107422E-2"/>
    <n v="37"/>
    <n v="1111.5326742091418"/>
    <n v="0"/>
    <n v="0"/>
    <n v="37"/>
    <s v="NO"/>
    <s v=""/>
    <n v="28642.000000000004"/>
    <n v="0"/>
    <s v="Vigente"/>
    <s v=""/>
  </r>
  <r>
    <s v="CR00065"/>
    <s v="CL0158"/>
    <x v="0"/>
    <x v="2"/>
    <x v="62"/>
    <n v="15808"/>
    <n v="0.35111410826065959"/>
    <n v="2.5394544294756294E-2"/>
    <n v="16"/>
    <n v="1214.5977648217945"/>
    <n v="1"/>
    <n v="1"/>
    <n v="15"/>
    <s v="SI"/>
    <n v="1"/>
    <n v="15807.999999999989"/>
    <n v="226.5977648217945"/>
    <s v="En mora"/>
    <n v="14"/>
  </r>
  <r>
    <s v="CR00066"/>
    <s v="CL0144"/>
    <x v="0"/>
    <x v="1"/>
    <x v="63"/>
    <n v="16504"/>
    <n v="0.25280583505379312"/>
    <n v="1.8959635913865958E-2"/>
    <n v="8"/>
    <n v="2242.8671647883339"/>
    <n v="7"/>
    <n v="7"/>
    <n v="1"/>
    <s v="NO"/>
    <s v=""/>
    <n v="16504.000000000018"/>
    <n v="1259.0701535183371"/>
    <s v="Vigente"/>
    <s v=""/>
  </r>
  <r>
    <s v="CR00067"/>
    <s v="CL0067"/>
    <x v="3"/>
    <x v="2"/>
    <x v="64"/>
    <n v="11079"/>
    <n v="0.27781416113112334"/>
    <n v="2.0639349632938009E-2"/>
    <n v="45"/>
    <n v="380.33966549709834"/>
    <n v="2"/>
    <n v="2"/>
    <n v="43"/>
    <s v="NO"/>
    <s v=""/>
    <n v="11079.000000000004"/>
    <n v="268.2793309941967"/>
    <s v="Vigente"/>
    <s v=""/>
  </r>
  <r>
    <s v="CR00068"/>
    <s v="CL0180"/>
    <x v="0"/>
    <x v="6"/>
    <x v="65"/>
    <n v="3873"/>
    <n v="0.27546739588247543"/>
    <n v="2.0483013683070483E-2"/>
    <n v="13"/>
    <n v="342.36984567690274"/>
    <n v="9"/>
    <n v="9"/>
    <n v="4"/>
    <s v="NO"/>
    <s v=""/>
    <n v="3872.9999999999995"/>
    <n v="400.02091878443218"/>
    <s v="Vigente"/>
    <s v=""/>
  </r>
  <r>
    <s v="CR00069"/>
    <s v="CL0221"/>
    <x v="0"/>
    <x v="6"/>
    <x v="66"/>
    <n v="4807"/>
    <n v="0.23523306481708875"/>
    <n v="1.7760853336652449E-2"/>
    <n v="19"/>
    <n v="300.303769053385"/>
    <n v="9"/>
    <n v="9"/>
    <n v="10"/>
    <s v="NO"/>
    <s v=""/>
    <n v="4807.0000000000055"/>
    <n v="425.73392148046497"/>
    <s v="Vigente"/>
    <s v=""/>
  </r>
  <r>
    <s v="CR00070"/>
    <s v="CL0030"/>
    <x v="4"/>
    <x v="3"/>
    <x v="67"/>
    <n v="225035"/>
    <n v="9.2713908034749382E-2"/>
    <n v="7.4160659499795667E-3"/>
    <n v="99"/>
    <n v="3216.769727163673"/>
    <n v="25"/>
    <n v="25"/>
    <n v="74"/>
    <s v="NO"/>
    <s v=""/>
    <n v="225034.99999999968"/>
    <n v="23592.222977071622"/>
    <s v="Vigente"/>
    <s v=""/>
  </r>
  <r>
    <s v="CR00071"/>
    <s v="CL0047"/>
    <x v="1"/>
    <x v="5"/>
    <x v="68"/>
    <n v="5158"/>
    <n v="0.53164889732490872"/>
    <n v="3.6167425922493557E-2"/>
    <n v="32"/>
    <n v="274.66600101740852"/>
    <n v="1"/>
    <n v="1"/>
    <n v="31"/>
    <s v="NO"/>
    <s v=""/>
    <n v="5158.0000000000009"/>
    <n v="113.47850101740852"/>
    <s v="Vigente"/>
    <s v=""/>
  </r>
  <r>
    <s v="CR00072"/>
    <s v="CL0249"/>
    <x v="2"/>
    <x v="3"/>
    <x v="69"/>
    <n v="59333"/>
    <n v="0.22396814255900893"/>
    <n v="1.6984130824731603E-2"/>
    <n v="16"/>
    <n v="4266.1764122390005"/>
    <n v="16"/>
    <n v="16"/>
    <n v="0"/>
    <s v="NO"/>
    <s v=""/>
    <n v="0"/>
    <n v="0"/>
    <s v="Cancelado"/>
    <s v=""/>
  </r>
  <r>
    <s v="CR00073"/>
    <s v="CL0100"/>
    <x v="4"/>
    <x v="2"/>
    <x v="70"/>
    <n v="214024"/>
    <n v="0.11517062807537437"/>
    <n v="9.1253362129013471E-3"/>
    <n v="147"/>
    <n v="2650.2339551801633"/>
    <n v="35"/>
    <n v="35"/>
    <n v="112"/>
    <s v="NO"/>
    <s v=""/>
    <n v="214023.99999999962"/>
    <n v="41800.093193210472"/>
    <s v="Vigente"/>
    <s v=""/>
  </r>
  <r>
    <s v="CR00074"/>
    <s v="CL0108"/>
    <x v="4"/>
    <x v="0"/>
    <x v="71"/>
    <n v="84921"/>
    <n v="0.13337518097049308"/>
    <n v="1.0487955949188166E-2"/>
    <n v="206"/>
    <n v="1008.1694987943445"/>
    <n v="20"/>
    <n v="20"/>
    <n v="186"/>
    <s v="NO"/>
    <s v=""/>
    <n v="84920.999999999985"/>
    <n v="11918.632694333492"/>
    <s v="Vigente"/>
    <s v=""/>
  </r>
  <r>
    <s v="CR00075"/>
    <s v="CL0246"/>
    <x v="4"/>
    <x v="1"/>
    <x v="72"/>
    <n v="271513"/>
    <n v="0.10243978815061941"/>
    <n v="8.1602576173276375E-3"/>
    <n v="228"/>
    <n v="2627.5282655213955"/>
    <n v="4"/>
    <n v="4"/>
    <n v="224"/>
    <s v="NO"/>
    <s v=""/>
    <n v="271513.00000000081"/>
    <n v="5746.7270971733005"/>
    <s v="Vigente"/>
    <s v=""/>
  </r>
  <r>
    <s v="CR00076"/>
    <s v="CL0090"/>
    <x v="0"/>
    <x v="2"/>
    <x v="73"/>
    <n v="15169"/>
    <n v="0.32575173426007853"/>
    <n v="2.3776564178605186E-2"/>
    <n v="12"/>
    <n v="1467.8494553097273"/>
    <n v="8"/>
    <n v="8"/>
    <n v="4"/>
    <s v="NO"/>
    <s v=""/>
    <n v="15168.999999999993"/>
    <n v="1630.1289758111525"/>
    <s v="Vigente"/>
    <s v=""/>
  </r>
  <r>
    <s v="CR00077"/>
    <s v="CL0236"/>
    <x v="2"/>
    <x v="5"/>
    <x v="74"/>
    <n v="86690"/>
    <n v="0.29301382670515552"/>
    <n v="2.1645588589563669E-2"/>
    <n v="14"/>
    <n v="7243.9588401683595"/>
    <n v="14"/>
    <n v="14"/>
    <n v="0"/>
    <s v="NO"/>
    <s v=""/>
    <n v="0"/>
    <n v="0"/>
    <s v="Cancelado"/>
    <s v=""/>
  </r>
  <r>
    <s v="CR00078"/>
    <s v="CL0125"/>
    <x v="3"/>
    <x v="6"/>
    <x v="75"/>
    <n v="12028"/>
    <n v="0.33176959663549099"/>
    <n v="2.4163022020566638E-2"/>
    <n v="43"/>
    <n v="452.84221371887423"/>
    <n v="26"/>
    <n v="26"/>
    <n v="17"/>
    <s v="NO"/>
    <s v=""/>
    <n v="12027.999999999998"/>
    <n v="4501.1533706442187"/>
    <s v="Vigente"/>
    <s v=""/>
  </r>
  <r>
    <s v="CR00079"/>
    <s v="CL0111"/>
    <x v="3"/>
    <x v="6"/>
    <x v="76"/>
    <n v="25019"/>
    <n v="0.38209544049296384"/>
    <n v="2.7333624744539042E-2"/>
    <n v="43"/>
    <n v="996.33020768545964"/>
    <n v="24"/>
    <n v="24"/>
    <n v="19"/>
    <s v="NO"/>
    <s v=""/>
    <n v="25018.999999999993"/>
    <n v="9947.8319611952156"/>
    <s v="Vigente"/>
    <s v=""/>
  </r>
  <r>
    <s v="CR00080"/>
    <s v="CL0081"/>
    <x v="3"/>
    <x v="1"/>
    <x v="77"/>
    <n v="3084"/>
    <n v="0.27191153393196221"/>
    <n v="2.0245627392871723E-2"/>
    <n v="43"/>
    <n v="108.09312681563991"/>
    <n v="40"/>
    <n v="40"/>
    <n v="3"/>
    <s v="NO"/>
    <s v=""/>
    <n v="3084.0000000000027"/>
    <n v="1454.8878633232709"/>
    <s v="Vigente"/>
    <s v=""/>
  </r>
  <r>
    <s v="CR00081"/>
    <s v="CL0060"/>
    <x v="1"/>
    <x v="7"/>
    <x v="78"/>
    <n v="4308"/>
    <n v="0.43821889242402112"/>
    <n v="3.0747007092928991E-2"/>
    <n v="8"/>
    <n v="615.63751068294766"/>
    <n v="8"/>
    <n v="8"/>
    <n v="0"/>
    <s v="NO"/>
    <s v=""/>
    <n v="0"/>
    <n v="0"/>
    <s v="Cancelado"/>
    <s v=""/>
  </r>
  <r>
    <s v="CR00082"/>
    <s v="CL0056"/>
    <x v="0"/>
    <x v="4"/>
    <x v="79"/>
    <n v="3635"/>
    <n v="0.25665781609998795"/>
    <n v="1.9220350216800908E-2"/>
    <n v="6"/>
    <n v="647.23491933714831"/>
    <n v="6"/>
    <n v="6"/>
    <n v="0"/>
    <s v="NO"/>
    <s v=""/>
    <n v="0"/>
    <n v="0"/>
    <s v="Cancelado"/>
    <s v=""/>
  </r>
  <r>
    <s v="CR00083"/>
    <s v="CL0015"/>
    <x v="3"/>
    <x v="1"/>
    <x v="80"/>
    <n v="8044"/>
    <n v="0.44301330457142585"/>
    <n v="3.1032909994426428E-2"/>
    <n v="17"/>
    <n v="616.05480757321345"/>
    <n v="17"/>
    <n v="17"/>
    <n v="0"/>
    <s v="NO"/>
    <s v=""/>
    <n v="0"/>
    <n v="0"/>
    <s v="Cancelado"/>
    <s v=""/>
  </r>
  <r>
    <s v="CR00084"/>
    <s v="CL0216"/>
    <x v="4"/>
    <x v="3"/>
    <x v="81"/>
    <n v="198999"/>
    <n v="9.1538645295301563E-2"/>
    <n v="7.3257279842786627E-3"/>
    <n v="176"/>
    <n v="2015.6507318430238"/>
    <n v="9"/>
    <n v="9"/>
    <n v="167"/>
    <s v="NO"/>
    <s v=""/>
    <n v="198999.00000000076"/>
    <n v="7964.7713593144872"/>
    <s v="Vigente"/>
    <s v=""/>
  </r>
  <r>
    <s v="CR00085"/>
    <s v="CL0193"/>
    <x v="4"/>
    <x v="6"/>
    <x v="82"/>
    <n v="175545"/>
    <n v="0.1080037403170807"/>
    <n v="8.5832906732206116E-3"/>
    <n v="92"/>
    <n v="2767.3785044582651"/>
    <n v="9"/>
    <n v="9"/>
    <n v="83"/>
    <s v="NO"/>
    <s v=""/>
    <n v="175544.99999999956"/>
    <n v="7733.5261053417771"/>
    <s v="Vigente"/>
    <s v=""/>
  </r>
  <r>
    <s v="CR00086"/>
    <s v="CL0209"/>
    <x v="3"/>
    <x v="4"/>
    <x v="83"/>
    <n v="13582"/>
    <n v="0.44531990011741152"/>
    <n v="3.1170148009560084E-2"/>
    <n v="31"/>
    <n v="689.67207402586348"/>
    <n v="11"/>
    <n v="11"/>
    <n v="20"/>
    <s v="NO"/>
    <s v=""/>
    <n v="13582.000000000009"/>
    <n v="2766.9734594457886"/>
    <s v="Vigente"/>
    <s v=""/>
  </r>
  <r>
    <s v="CR00087"/>
    <s v="CL0239"/>
    <x v="1"/>
    <x v="7"/>
    <x v="84"/>
    <n v="2692"/>
    <n v="0.41399581524257745"/>
    <n v="2.9289028865412847E-2"/>
    <n v="24"/>
    <n v="157.74071745794149"/>
    <n v="7"/>
    <n v="8"/>
    <n v="17"/>
    <s v="SI"/>
    <n v="7"/>
    <n v="2691.9999999999991"/>
    <n v="319.01835553892369"/>
    <s v="En mora"/>
    <n v="39"/>
  </r>
  <r>
    <s v="CR00088"/>
    <s v="CL0087"/>
    <x v="3"/>
    <x v="3"/>
    <x v="85"/>
    <n v="29973"/>
    <n v="0.42149873597315907"/>
    <n v="2.9743058725738125E-2"/>
    <n v="8"/>
    <n v="4265.218561633309"/>
    <n v="8"/>
    <n v="8"/>
    <n v="0"/>
    <s v="NO"/>
    <s v=""/>
    <n v="0"/>
    <n v="0"/>
    <s v="Cancelado"/>
    <s v=""/>
  </r>
  <r>
    <s v="CR00089"/>
    <s v="CL0169"/>
    <x v="0"/>
    <x v="3"/>
    <x v="82"/>
    <n v="5686"/>
    <n v="0.36276308305098415"/>
    <n v="2.6128374003598021E-2"/>
    <n v="6"/>
    <n v="1036.1921135155062"/>
    <n v="6"/>
    <n v="6"/>
    <n v="0"/>
    <s v="NO"/>
    <s v=""/>
    <n v="0"/>
    <n v="0"/>
    <s v="Cancelado"/>
    <s v=""/>
  </r>
  <r>
    <s v="CR00090"/>
    <s v="CL0239"/>
    <x v="4"/>
    <x v="7"/>
    <x v="86"/>
    <n v="276140"/>
    <n v="0.11385086607755933"/>
    <n v="9.025760403544858E-3"/>
    <n v="63"/>
    <n v="5766.061233401143"/>
    <n v="9"/>
    <n v="9"/>
    <n v="54"/>
    <s v="NO"/>
    <s v=""/>
    <n v="276139.99999999948"/>
    <n v="12445.97967203886"/>
    <s v="Vigente"/>
    <s v=""/>
  </r>
  <r>
    <s v="CR00091"/>
    <s v="CL0168"/>
    <x v="0"/>
    <x v="1"/>
    <x v="64"/>
    <n v="12352"/>
    <n v="0.33923849419064883"/>
    <n v="2.4640442975424781E-2"/>
    <n v="22"/>
    <n v="734.04110935641017"/>
    <n v="2"/>
    <n v="2"/>
    <n v="20"/>
    <s v="NO"/>
    <s v=""/>
    <n v="12352.000000000011"/>
    <n v="345.17312780372941"/>
    <s v="Vigente"/>
    <s v=""/>
  </r>
  <r>
    <s v="CR00092"/>
    <s v="CL0151"/>
    <x v="4"/>
    <x v="2"/>
    <x v="87"/>
    <n v="114422"/>
    <n v="0.10560698687149792"/>
    <n v="8.401302312548653E-3"/>
    <n v="103"/>
    <n v="1664.3910472338566"/>
    <n v="13"/>
    <n v="13"/>
    <n v="90"/>
    <s v="NO"/>
    <s v=""/>
    <n v="114422.00000000004"/>
    <n v="7195.4719635546999"/>
    <s v="Vigente"/>
    <s v=""/>
  </r>
  <r>
    <s v="CR00093"/>
    <s v="CL0070"/>
    <x v="1"/>
    <x v="0"/>
    <x v="16"/>
    <n v="942"/>
    <n v="0.50294826108842372"/>
    <n v="3.4535351880840892E-2"/>
    <n v="27"/>
    <n v="54.205190470589038"/>
    <n v="10"/>
    <n v="10"/>
    <n v="17"/>
    <s v="NO"/>
    <s v=""/>
    <n v="941.99999999999943"/>
    <n v="193.16301581700145"/>
    <s v="Vigente"/>
    <s v=""/>
  </r>
  <r>
    <s v="CR00094"/>
    <s v="CL0153"/>
    <x v="2"/>
    <x v="2"/>
    <x v="88"/>
    <n v="69179"/>
    <n v="0.21642699899450704"/>
    <n v="1.646049477970335E-2"/>
    <n v="41"/>
    <n v="2333.5529603890859"/>
    <n v="9"/>
    <n v="9"/>
    <n v="32"/>
    <s v="NO"/>
    <s v=""/>
    <n v="69179.000000000073"/>
    <n v="5816.3424971603081"/>
    <s v="Vigente"/>
    <s v=""/>
  </r>
  <r>
    <s v="CR00095"/>
    <s v="CL0142"/>
    <x v="3"/>
    <x v="3"/>
    <x v="72"/>
    <n v="5660"/>
    <n v="0.3580861507628848"/>
    <n v="2.5834443086113712E-2"/>
    <n v="23"/>
    <n v="329.47144009159445"/>
    <n v="4"/>
    <n v="4"/>
    <n v="19"/>
    <s v="NO"/>
    <s v=""/>
    <n v="5660"/>
    <n v="333.53793427942122"/>
    <s v="Vigente"/>
    <s v=""/>
  </r>
  <r>
    <s v="CR00096"/>
    <s v="CL0181"/>
    <x v="3"/>
    <x v="6"/>
    <x v="89"/>
    <n v="13955"/>
    <n v="0.3472548634650735"/>
    <n v="2.5150151003084709E-2"/>
    <n v="23"/>
    <n v="806.44140858635467"/>
    <n v="15"/>
    <n v="15"/>
    <n v="8"/>
    <s v="NO"/>
    <s v=""/>
    <n v="13954.999999999996"/>
    <n v="2995.5341722735798"/>
    <s v="Vigente"/>
    <s v=""/>
  </r>
  <r>
    <s v="CR00097"/>
    <s v="CL0063"/>
    <x v="0"/>
    <x v="3"/>
    <x v="90"/>
    <n v="2685"/>
    <n v="0.23732123665580401"/>
    <n v="1.7904120135408652E-2"/>
    <n v="13"/>
    <n v="233.34157327881113"/>
    <n v="4"/>
    <n v="13"/>
    <n v="9"/>
    <s v="SI"/>
    <n v="4"/>
    <n v="2684.9999999999964"/>
    <n v="107.21244696139841"/>
    <s v="En mora"/>
    <n v="1260"/>
  </r>
  <r>
    <s v="CR00098"/>
    <s v="CL0105"/>
    <x v="3"/>
    <x v="1"/>
    <x v="91"/>
    <n v="27737"/>
    <n v="0.41025733076167514"/>
    <n v="2.906197421453971E-2"/>
    <n v="43"/>
    <n v="1138.1496932931232"/>
    <n v="5"/>
    <n v="5"/>
    <n v="38"/>
    <s v="NO"/>
    <s v=""/>
    <n v="27736.999999999993"/>
    <n v="2465.515908326081"/>
    <s v="Vigente"/>
    <s v=""/>
  </r>
  <r>
    <s v="CR00099"/>
    <s v="CL0201"/>
    <x v="1"/>
    <x v="2"/>
    <x v="92"/>
    <n v="6387"/>
    <n v="0.39970388794700368"/>
    <n v="2.8418027043787264E-2"/>
    <n v="16"/>
    <n v="502.34490806855177"/>
    <n v="16"/>
    <n v="16"/>
    <n v="0"/>
    <s v="NO"/>
    <s v=""/>
    <n v="0"/>
    <n v="0"/>
    <s v="Cancelado"/>
    <s v=""/>
  </r>
  <r>
    <s v="CR00100"/>
    <s v="CL0184"/>
    <x v="3"/>
    <x v="7"/>
    <x v="93"/>
    <n v="42190"/>
    <n v="0.34626386978847407"/>
    <n v="2.5087291084118446E-2"/>
    <n v="25"/>
    <n v="2292.1880727241514"/>
    <n v="3"/>
    <n v="3"/>
    <n v="22"/>
    <s v="SI"/>
    <n v="3"/>
    <n v="42189.999999999971"/>
    <n v="1813.7642181724543"/>
    <s v="En mora"/>
    <n v="21"/>
  </r>
  <r>
    <s v="CR00101"/>
    <s v="CL0049"/>
    <x v="4"/>
    <x v="2"/>
    <x v="94"/>
    <n v="116249"/>
    <n v="0.10020144985702277"/>
    <n v="7.9895221868162558E-3"/>
    <n v="180"/>
    <n v="1220.0409086232423"/>
    <n v="38"/>
    <n v="38"/>
    <n v="142"/>
    <s v="NO"/>
    <s v=""/>
    <n v="116249.00000000017"/>
    <n v="21820.098972127653"/>
    <s v="Vigente"/>
    <s v=""/>
  </r>
  <r>
    <s v="CR00102"/>
    <s v="CL0188"/>
    <x v="0"/>
    <x v="6"/>
    <x v="95"/>
    <n v="17345"/>
    <n v="0.28894213382496847"/>
    <n v="2.1377104543337744E-2"/>
    <n v="7"/>
    <n v="2694.2147152260363"/>
    <n v="7"/>
    <n v="7"/>
    <n v="0"/>
    <s v="NO"/>
    <s v=""/>
    <n v="0"/>
    <n v="0"/>
    <s v="Cancelado"/>
    <s v=""/>
  </r>
  <r>
    <s v="CR00103"/>
    <s v="CL0057"/>
    <x v="4"/>
    <x v="5"/>
    <x v="41"/>
    <n v="296640"/>
    <n v="0.1202673414658213"/>
    <n v="9.5088709623072365E-3"/>
    <n v="169"/>
    <n v="3534.7983538951221"/>
    <n v="6"/>
    <n v="6"/>
    <n v="163"/>
    <s v="NO"/>
    <s v=""/>
    <n v="296640.00000000029"/>
    <n v="10677.192490234638"/>
    <s v="Vigente"/>
    <s v=""/>
  </r>
  <r>
    <s v="CR00104"/>
    <s v="CL0123"/>
    <x v="3"/>
    <x v="0"/>
    <x v="96"/>
    <n v="7527"/>
    <n v="0.27023028002992305"/>
    <n v="2.0133176437034495E-2"/>
    <n v="29"/>
    <n v="345.18679885124408"/>
    <n v="3"/>
    <n v="3"/>
    <n v="26"/>
    <s v="NO"/>
    <s v=""/>
    <n v="7526.9999999999918"/>
    <n v="256.90522413993915"/>
    <s v="Vigente"/>
    <s v=""/>
  </r>
  <r>
    <s v="CR00105"/>
    <s v="CL0166"/>
    <x v="2"/>
    <x v="4"/>
    <x v="97"/>
    <n v="80940"/>
    <n v="0.30901320457826209"/>
    <n v="2.2693123085777867E-2"/>
    <n v="24"/>
    <n v="4411.0509015588377"/>
    <n v="6"/>
    <n v="6"/>
    <n v="18"/>
    <s v="NO"/>
    <s v=""/>
    <n v="80940.000000000058"/>
    <n v="6231.3054093530263"/>
    <s v="Vigente"/>
    <s v=""/>
  </r>
  <r>
    <s v="CR00106"/>
    <s v="CL0043"/>
    <x v="1"/>
    <x v="2"/>
    <x v="98"/>
    <n v="4958"/>
    <n v="0.37669055380059369"/>
    <n v="2.6998228274724534E-2"/>
    <n v="18"/>
    <n v="351.40338727218"/>
    <n v="17"/>
    <n v="17"/>
    <n v="1"/>
    <s v="NO"/>
    <s v=""/>
    <n v="4957.9999999999955"/>
    <n v="1291.3020280715048"/>
    <s v="Vigente"/>
    <s v=""/>
  </r>
  <r>
    <s v="CR00107"/>
    <s v="CL0189"/>
    <x v="1"/>
    <x v="4"/>
    <x v="99"/>
    <n v="12402"/>
    <n v="0.44324995515549864"/>
    <n v="3.1046999504292128E-2"/>
    <n v="36"/>
    <n v="576.96786189482646"/>
    <n v="1"/>
    <n v="1"/>
    <n v="35"/>
    <s v="NO"/>
    <s v=""/>
    <n v="12402"/>
    <n v="232.46786189482646"/>
    <s v="Vigente"/>
    <s v=""/>
  </r>
  <r>
    <s v="CR00108"/>
    <s v="CL0220"/>
    <x v="2"/>
    <x v="2"/>
    <x v="100"/>
    <n v="81719"/>
    <n v="0.2611588911765268"/>
    <n v="1.9524070743855315E-2"/>
    <n v="35"/>
    <n v="3244.591936948741"/>
    <n v="5"/>
    <n v="5"/>
    <n v="30"/>
    <s v="NO"/>
    <s v=""/>
    <n v="81719.000000000102"/>
    <n v="4548.8168276008482"/>
    <s v="Vigente"/>
    <s v=""/>
  </r>
  <r>
    <s v="CR00109"/>
    <s v="CL0048"/>
    <x v="3"/>
    <x v="7"/>
    <x v="101"/>
    <n v="2545"/>
    <n v="0.44737956425451786"/>
    <n v="3.1292524506148167E-2"/>
    <n v="38"/>
    <n v="115.43472766242624"/>
    <n v="19"/>
    <n v="19"/>
    <n v="19"/>
    <s v="NO"/>
    <s v=""/>
    <n v="2544.9999999999991"/>
    <n v="920.75982558609849"/>
    <s v="Vigente"/>
    <s v=""/>
  </r>
  <r>
    <s v="CR00110"/>
    <s v="CL0232"/>
    <x v="3"/>
    <x v="5"/>
    <x v="102"/>
    <n v="13554"/>
    <n v="0.33268453004137583"/>
    <n v="2.4221637392203954E-2"/>
    <n v="45"/>
    <n v="497.89341382658932"/>
    <n v="45"/>
    <n v="45"/>
    <n v="0"/>
    <s v="NO"/>
    <s v=""/>
    <n v="0"/>
    <n v="0"/>
    <s v="Cancelado"/>
    <s v=""/>
  </r>
  <r>
    <s v="CR00111"/>
    <s v="CL0118"/>
    <x v="4"/>
    <x v="6"/>
    <x v="103"/>
    <n v="105606"/>
    <n v="0.12403251610072086"/>
    <n v="9.791179659037752E-3"/>
    <n v="156"/>
    <n v="1323.4667154535607"/>
    <n v="1"/>
    <n v="1"/>
    <n v="155"/>
    <s v="NO"/>
    <s v=""/>
    <n v="105606.00000000003"/>
    <n v="646.50517699202214"/>
    <s v="Vigente"/>
    <s v=""/>
  </r>
  <r>
    <s v="CR00112"/>
    <s v="CL0243"/>
    <x v="1"/>
    <x v="4"/>
    <x v="104"/>
    <n v="8455"/>
    <n v="0.47735439386216105"/>
    <n v="3.3055665978694249E-2"/>
    <n v="12"/>
    <n v="864.97446551306803"/>
    <n v="6"/>
    <n v="12"/>
    <n v="6"/>
    <s v="SI"/>
    <n v="6"/>
    <n v="8455.0000000000109"/>
    <n v="962.34679307840815"/>
    <s v="En mora"/>
    <n v="1235"/>
  </r>
  <r>
    <s v="CR00113"/>
    <s v="CL0101"/>
    <x v="3"/>
    <x v="2"/>
    <x v="105"/>
    <n v="14166"/>
    <n v="0.32488387211873326"/>
    <n v="2.3720698791141803E-2"/>
    <n v="19"/>
    <n v="934.83296473462212"/>
    <n v="10"/>
    <n v="10"/>
    <n v="9"/>
    <s v="NO"/>
    <s v=""/>
    <n v="14165.999999999967"/>
    <n v="1892.5401736620111"/>
    <s v="Vigente"/>
    <s v=""/>
  </r>
  <r>
    <s v="CR00114"/>
    <s v="CL0013"/>
    <x v="2"/>
    <x v="7"/>
    <x v="76"/>
    <n v="5481"/>
    <n v="0.20087704947278634"/>
    <n v="1.5371288449693044E-2"/>
    <n v="37"/>
    <n v="195.33752587213846"/>
    <n v="24"/>
    <n v="24"/>
    <n v="13"/>
    <s v="NO"/>
    <s v=""/>
    <n v="5481.0000000000045"/>
    <n v="1132.8573776880796"/>
    <s v="Vigente"/>
    <s v=""/>
  </r>
  <r>
    <s v="CR00115"/>
    <s v="CL0206"/>
    <x v="2"/>
    <x v="1"/>
    <x v="106"/>
    <n v="66054"/>
    <n v="0.20482123772411515"/>
    <n v="1.5648780043396426E-2"/>
    <n v="13"/>
    <n v="5654.9386829958348"/>
    <n v="11"/>
    <n v="11"/>
    <n v="2"/>
    <s v="NO"/>
    <s v=""/>
    <n v="66053.999999999971"/>
    <n v="6312.4793591080324"/>
    <s v="Vigente"/>
    <s v=""/>
  </r>
  <r>
    <s v="CR00116"/>
    <s v="CL0114"/>
    <x v="1"/>
    <x v="1"/>
    <x v="107"/>
    <n v="4088"/>
    <n v="0.46025731906764367"/>
    <n v="3.2054066297906303E-2"/>
    <n v="20"/>
    <n v="280.02250498206723"/>
    <n v="20"/>
    <n v="20"/>
    <n v="0"/>
    <s v="NO"/>
    <s v=""/>
    <n v="0"/>
    <n v="0"/>
    <s v="Cancelado"/>
    <s v=""/>
  </r>
  <r>
    <s v="CR00117"/>
    <s v="CL0192"/>
    <x v="2"/>
    <x v="4"/>
    <x v="108"/>
    <n v="98718"/>
    <n v="0.28574845623597345"/>
    <n v="2.1165971491919233E-2"/>
    <n v="14"/>
    <n v="8221.3649975302033"/>
    <n v="2"/>
    <n v="3"/>
    <n v="12"/>
    <s v="SI"/>
    <n v="2"/>
    <n v="98717.999999999956"/>
    <n v="2340.1585664889776"/>
    <s v="En mora"/>
    <n v="33"/>
  </r>
  <r>
    <s v="CR00118"/>
    <s v="CL0224"/>
    <x v="0"/>
    <x v="5"/>
    <x v="109"/>
    <n v="4711"/>
    <n v="0.24584524219786999"/>
    <n v="1.8486651689375355E-2"/>
    <n v="24"/>
    <n v="244.82621848435386"/>
    <n v="4"/>
    <n v="4"/>
    <n v="20"/>
    <s v="NO"/>
    <s v=""/>
    <n v="4711.0000000000018"/>
    <n v="194.13820727074881"/>
    <s v="Vigente"/>
    <s v=""/>
  </r>
  <r>
    <s v="CR00119"/>
    <s v="CL0085"/>
    <x v="2"/>
    <x v="6"/>
    <x v="110"/>
    <n v="94056"/>
    <n v="0.29259245438207776"/>
    <n v="2.1617839628218505E-2"/>
    <n v="42"/>
    <n v="3430.387710101103"/>
    <n v="1"/>
    <n v="1"/>
    <n v="41"/>
    <s v="NO"/>
    <s v=""/>
    <n v="94056.00000000016"/>
    <n v="1190.9591386725313"/>
    <s v="Vigente"/>
    <s v=""/>
  </r>
  <r>
    <s v="CR00120"/>
    <s v="CL0111"/>
    <x v="4"/>
    <x v="6"/>
    <x v="111"/>
    <n v="281180"/>
    <n v="0.10651966990077746"/>
    <n v="8.4706460252141902E-3"/>
    <n v="106"/>
    <n v="4029.8918328630325"/>
    <n v="35"/>
    <n v="35"/>
    <n v="71"/>
    <s v="NO"/>
    <s v=""/>
    <n v="281180.00000000017"/>
    <n v="48203.761320017446"/>
    <s v="Vigente"/>
    <s v=""/>
  </r>
  <r>
    <s v="CR00121"/>
    <s v="CL0242"/>
    <x v="2"/>
    <x v="2"/>
    <x v="109"/>
    <n v="50118"/>
    <n v="0.23565301808029337"/>
    <n v="1.7789683618243179E-2"/>
    <n v="23"/>
    <n v="2674.2111436750488"/>
    <n v="4"/>
    <n v="4"/>
    <n v="19"/>
    <s v="NO"/>
    <s v=""/>
    <n v="50118.000000000087"/>
    <n v="1980.6706616567174"/>
    <s v="Vigente"/>
    <s v=""/>
  </r>
  <r>
    <s v="CR00122"/>
    <s v="CL0158"/>
    <x v="2"/>
    <x v="2"/>
    <x v="112"/>
    <n v="57061"/>
    <n v="0.33168235692545123"/>
    <n v="2.4157431065496171E-2"/>
    <n v="34"/>
    <n v="2479.8989516731858"/>
    <n v="1"/>
    <n v="1"/>
    <n v="33"/>
    <s v="NO"/>
    <s v=""/>
    <n v="57061.000000000065"/>
    <n v="801.63424579083301"/>
    <s v="Vigente"/>
    <s v=""/>
  </r>
  <r>
    <s v="CR00123"/>
    <s v="CL0076"/>
    <x v="0"/>
    <x v="6"/>
    <x v="55"/>
    <n v="15558"/>
    <n v="0.30204095408247511"/>
    <n v="2.223807679162082E-2"/>
    <n v="22"/>
    <n v="901.90302124072582"/>
    <n v="3"/>
    <n v="3"/>
    <n v="19"/>
    <s v="NO"/>
    <s v=""/>
    <n v="15558.000000000027"/>
    <n v="584.16360917672284"/>
    <s v="Vigente"/>
    <s v=""/>
  </r>
  <r>
    <s v="CR00124"/>
    <s v="CL0041"/>
    <x v="2"/>
    <x v="5"/>
    <x v="76"/>
    <n v="41069"/>
    <n v="0.29348545709718127"/>
    <n v="2.1676637405206867E-2"/>
    <n v="54"/>
    <n v="1297.9189348184104"/>
    <n v="24"/>
    <n v="24"/>
    <n v="30"/>
    <s v="NO"/>
    <s v=""/>
    <n v="41069.000000000036"/>
    <n v="12897.165546752958"/>
    <s v="Vigente"/>
    <s v=""/>
  </r>
  <r>
    <s v="CR00125"/>
    <s v="CL0162"/>
    <x v="2"/>
    <x v="3"/>
    <x v="113"/>
    <n v="65739"/>
    <n v="0.25360009137567269"/>
    <n v="1.9013453781349998E-2"/>
    <n v="32"/>
    <n v="2761.1778517308412"/>
    <n v="7"/>
    <n v="7"/>
    <n v="25"/>
    <s v="NO"/>
    <s v=""/>
    <n v="65739.000000000087"/>
    <n v="4947.8387121158885"/>
    <s v="Vigente"/>
    <s v=""/>
  </r>
  <r>
    <s v="CR00126"/>
    <s v="CL0230"/>
    <x v="2"/>
    <x v="4"/>
    <x v="114"/>
    <n v="89716"/>
    <n v="0.27645102022549134"/>
    <n v="2.0548572481210892E-2"/>
    <n v="36"/>
    <n v="3550.8983988712353"/>
    <n v="22"/>
    <n v="22"/>
    <n v="14"/>
    <s v="NO"/>
    <s v=""/>
    <n v="89715.999999999985"/>
    <n v="23293.320330722734"/>
    <s v="Vigente"/>
    <s v=""/>
  </r>
  <r>
    <s v="CR00127"/>
    <s v="CL0235"/>
    <x v="2"/>
    <x v="6"/>
    <x v="113"/>
    <n v="57954"/>
    <n v="0.24082416091038528"/>
    <n v="1.8143954290806841E-2"/>
    <n v="34"/>
    <n v="2298.9446952360508"/>
    <n v="7"/>
    <n v="7"/>
    <n v="27"/>
    <s v="NO"/>
    <s v=""/>
    <n v="57954.000000000036"/>
    <n v="4160.9069842994149"/>
    <s v="Vigente"/>
    <s v=""/>
  </r>
  <r>
    <s v="CR00128"/>
    <s v="CL0088"/>
    <x v="0"/>
    <x v="6"/>
    <x v="115"/>
    <n v="16085"/>
    <n v="0.24264163499918603"/>
    <n v="1.8268146555022735E-2"/>
    <n v="9"/>
    <n v="1954.4070363408259"/>
    <n v="9"/>
    <n v="9"/>
    <n v="0"/>
    <s v="NO"/>
    <s v=""/>
    <n v="0"/>
    <n v="0"/>
    <s v="Cancelado"/>
    <s v=""/>
  </r>
  <r>
    <s v="CR00129"/>
    <s v="CL0056"/>
    <x v="3"/>
    <x v="4"/>
    <x v="116"/>
    <n v="12498"/>
    <n v="0.42816359294052397"/>
    <n v="3.014453556343355E-2"/>
    <n v="40"/>
    <n v="541.95722446405387"/>
    <n v="3"/>
    <n v="3"/>
    <n v="37"/>
    <s v="NO"/>
    <s v=""/>
    <n v="12498.000000000005"/>
    <n v="688.52167339216169"/>
    <s v="Vigente"/>
    <s v=""/>
  </r>
  <r>
    <s v="CR00130"/>
    <s v="CL0131"/>
    <x v="4"/>
    <x v="1"/>
    <x v="117"/>
    <n v="229870"/>
    <n v="0.11761241981156834"/>
    <n v="9.3092844821820453E-3"/>
    <n v="196"/>
    <n v="2555.5801401402691"/>
    <n v="8"/>
    <n v="8"/>
    <n v="188"/>
    <s v="NO"/>
    <s v=""/>
    <n v="229869.99999999997"/>
    <n v="11062.192141530315"/>
    <s v="Vigente"/>
    <s v=""/>
  </r>
  <r>
    <s v="CR00131"/>
    <s v="CL0047"/>
    <x v="2"/>
    <x v="5"/>
    <x v="118"/>
    <n v="46810"/>
    <n v="0.32661451782071926"/>
    <n v="2.383206943195515E-2"/>
    <n v="14"/>
    <n v="3971.6451427506304"/>
    <n v="1"/>
    <n v="1"/>
    <n v="13"/>
    <s v="SI"/>
    <n v="1"/>
    <n v="46810.000000000036"/>
    <n v="628.07371417920194"/>
    <s v="En mora"/>
    <n v="13"/>
  </r>
  <r>
    <s v="CR00132"/>
    <s v="CL0072"/>
    <x v="1"/>
    <x v="5"/>
    <x v="119"/>
    <n v="4140"/>
    <n v="0.36740968332187035"/>
    <n v="2.6419484353123357E-2"/>
    <n v="23"/>
    <n v="242.48990176981539"/>
    <n v="23"/>
    <n v="23"/>
    <n v="0"/>
    <s v="NO"/>
    <s v=""/>
    <n v="0"/>
    <n v="0"/>
    <s v="Cancelado"/>
    <s v=""/>
  </r>
  <r>
    <s v="CR00133"/>
    <s v="CL0173"/>
    <x v="4"/>
    <x v="7"/>
    <x v="120"/>
    <n v="74152"/>
    <n v="0.11950998252835771"/>
    <n v="9.4519799607506449E-3"/>
    <n v="93"/>
    <n v="1201.9975250988778"/>
    <n v="27"/>
    <n v="27"/>
    <n v="66"/>
    <s v="NO"/>
    <s v=""/>
    <n v="74152.000000000131"/>
    <n v="10925.9331776697"/>
    <s v="Vigente"/>
    <s v=""/>
  </r>
  <r>
    <s v="CR00134"/>
    <s v="CL0111"/>
    <x v="4"/>
    <x v="6"/>
    <x v="121"/>
    <n v="89800"/>
    <n v="9.724261309847762E-2"/>
    <n v="7.763339438749739E-3"/>
    <n v="111"/>
    <n v="1209.9867974570748"/>
    <n v="30"/>
    <n v="30"/>
    <n v="81"/>
    <s v="NO"/>
    <s v=""/>
    <n v="89800.000000000146"/>
    <n v="12029.333653441974"/>
    <s v="Vigente"/>
    <s v=""/>
  </r>
  <r>
    <s v="CR00135"/>
    <s v="CL0195"/>
    <x v="1"/>
    <x v="1"/>
    <x v="122"/>
    <n v="11852"/>
    <n v="0.50140002300713493"/>
    <n v="3.4446500753729126E-2"/>
    <n v="16"/>
    <n v="975.91160127186458"/>
    <n v="0"/>
    <n v="0"/>
    <n v="16"/>
    <s v="NO"/>
    <s v=""/>
    <n v="11851.999999999989"/>
    <n v="0"/>
    <s v="Vigente"/>
    <s v=""/>
  </r>
  <r>
    <s v="CR00136"/>
    <s v="CL0054"/>
    <x v="3"/>
    <x v="0"/>
    <x v="123"/>
    <n v="18622"/>
    <n v="0.35714168348662717"/>
    <n v="2.5774973612659124E-2"/>
    <n v="29"/>
    <n v="919.62363305465919"/>
    <n v="16"/>
    <n v="16"/>
    <n v="13"/>
    <s v="NO"/>
    <s v=""/>
    <n v="18622.000000000018"/>
    <n v="4439.7712323228234"/>
    <s v="Vigente"/>
    <s v=""/>
  </r>
  <r>
    <s v="CR00137"/>
    <s v="CL0234"/>
    <x v="4"/>
    <x v="2"/>
    <x v="124"/>
    <n v="65880"/>
    <n v="0.13668804489808495"/>
    <n v="1.0733765448193378E-2"/>
    <n v="154"/>
    <n v="876.44153659712845"/>
    <n v="8"/>
    <n v="8"/>
    <n v="146"/>
    <s v="NO"/>
    <s v=""/>
    <n v="65879.999999999884"/>
    <n v="3589.1946304393646"/>
    <s v="Vigente"/>
    <s v=""/>
  </r>
  <r>
    <s v="CR00138"/>
    <s v="CL0033"/>
    <x v="2"/>
    <x v="1"/>
    <x v="125"/>
    <n v="58517"/>
    <n v="0.34600915597874154"/>
    <n v="2.5071127429284745E-2"/>
    <n v="53"/>
    <n v="2007.4452367455215"/>
    <n v="10"/>
    <n v="38"/>
    <n v="43"/>
    <s v="SI"/>
    <n v="10"/>
    <n v="58516.999999999978"/>
    <n v="9033.5089712287991"/>
    <s v="En mora"/>
    <n v="872"/>
  </r>
  <r>
    <s v="CR00139"/>
    <s v="CL0014"/>
    <x v="3"/>
    <x v="2"/>
    <x v="126"/>
    <n v="43987"/>
    <n v="0.3752443363844632"/>
    <n v="2.6908279573391258E-2"/>
    <n v="19"/>
    <n v="2987.473703866136"/>
    <n v="2"/>
    <n v="2"/>
    <n v="17"/>
    <s v="NO"/>
    <s v=""/>
    <n v="43986.999999999956"/>
    <n v="1344.7368814164824"/>
    <s v="Vigente"/>
    <s v=""/>
  </r>
  <r>
    <s v="CR00140"/>
    <s v="CL0186"/>
    <x v="3"/>
    <x v="4"/>
    <x v="127"/>
    <n v="22581"/>
    <n v="0.42391686080195506"/>
    <n v="2.9888920500243277E-2"/>
    <n v="35"/>
    <n v="1049.2001848857392"/>
    <n v="1"/>
    <n v="1"/>
    <n v="34"/>
    <s v="NO"/>
    <s v=""/>
    <n v="22581.000000000011"/>
    <n v="404.02875631431067"/>
    <s v="Vigente"/>
    <s v=""/>
  </r>
  <r>
    <s v="CR00141"/>
    <s v="CL0056"/>
    <x v="4"/>
    <x v="4"/>
    <x v="128"/>
    <n v="246805"/>
    <n v="0.11841365887814614"/>
    <n v="9.3695642064288709E-3"/>
    <n v="88"/>
    <n v="4130.3505423519555"/>
    <n v="4"/>
    <n v="4"/>
    <n v="84"/>
    <s v="NO"/>
    <s v=""/>
    <n v="246804.99999999919"/>
    <n v="5302.9930784987309"/>
    <s v="Vigente"/>
    <s v=""/>
  </r>
  <r>
    <s v="CR00142"/>
    <s v="CL0191"/>
    <x v="3"/>
    <x v="6"/>
    <x v="129"/>
    <n v="4056"/>
    <n v="0.26513077512483058"/>
    <n v="1.9791258712516413E-2"/>
    <n v="14"/>
    <n v="334.5415933049332"/>
    <n v="4"/>
    <n v="4"/>
    <n v="10"/>
    <s v="NO"/>
    <s v=""/>
    <n v="4055.9999999999936"/>
    <n v="179.30923036259003"/>
    <s v="Vigente"/>
    <s v=""/>
  </r>
  <r>
    <s v="CR00143"/>
    <s v="CL0049"/>
    <x v="4"/>
    <x v="2"/>
    <x v="80"/>
    <n v="93681"/>
    <n v="0.1034990332609859"/>
    <n v="8.2409437200481328E-3"/>
    <n v="121"/>
    <n v="1226.2818340583508"/>
    <n v="18"/>
    <n v="18"/>
    <n v="103"/>
    <s v="NO"/>
    <s v=""/>
    <n v="93680.999999999825"/>
    <n v="8137.0564841246942"/>
    <s v="Vigente"/>
    <s v=""/>
  </r>
  <r>
    <s v="CR00144"/>
    <s v="CL0182"/>
    <x v="0"/>
    <x v="2"/>
    <x v="130"/>
    <n v="4386"/>
    <n v="0.23989060616008026"/>
    <n v="1.8080097469157508E-2"/>
    <n v="19"/>
    <n v="274.81782596170018"/>
    <n v="19"/>
    <n v="19"/>
    <n v="0"/>
    <s v="NO"/>
    <s v=""/>
    <n v="0"/>
    <n v="0"/>
    <s v="Cancelado"/>
    <s v=""/>
  </r>
  <r>
    <s v="CR00145"/>
    <s v="CL0166"/>
    <x v="4"/>
    <x v="4"/>
    <x v="131"/>
    <n v="126531"/>
    <n v="0.10903197145804011"/>
    <n v="8.6612549040687714E-3"/>
    <n v="186"/>
    <n v="1371.746902113473"/>
    <n v="53"/>
    <n v="53"/>
    <n v="133"/>
    <s v="NO"/>
    <s v=""/>
    <n v="126530.99999999961"/>
    <n v="36648.053553949554"/>
    <s v="Vigente"/>
    <s v=""/>
  </r>
  <r>
    <s v="CR00146"/>
    <s v="CL0015"/>
    <x v="4"/>
    <x v="1"/>
    <x v="132"/>
    <n v="197995"/>
    <n v="9.1236933931037281E-2"/>
    <n v="7.3025221995781653E-3"/>
    <n v="158"/>
    <n v="2116.1906549632608"/>
    <n v="27"/>
    <n v="27"/>
    <n v="131"/>
    <s v="NO"/>
    <s v=""/>
    <n v="197995.00000000061"/>
    <n v="23302.559076413105"/>
    <s v="Vigente"/>
    <s v=""/>
  </r>
  <r>
    <s v="CR00147"/>
    <s v="CL0007"/>
    <x v="0"/>
    <x v="3"/>
    <x v="133"/>
    <n v="14338"/>
    <n v="0.31799705806436701"/>
    <n v="2.3276192744503321E-2"/>
    <n v="22"/>
    <n v="840.16854045519153"/>
    <n v="22"/>
    <n v="22"/>
    <n v="0"/>
    <s v="NO"/>
    <s v=""/>
    <n v="0"/>
    <n v="0"/>
    <s v="Cancelado"/>
    <s v=""/>
  </r>
  <r>
    <s v="CR00148"/>
    <s v="CL0247"/>
    <x v="4"/>
    <x v="7"/>
    <x v="134"/>
    <n v="64280"/>
    <n v="9.330567200449999E-2"/>
    <n v="7.4615188817972466E-3"/>
    <n v="223"/>
    <n v="592.54753555805178"/>
    <n v="6"/>
    <n v="6"/>
    <n v="217"/>
    <s v="NO"/>
    <s v=""/>
    <n v="64280.000000000007"/>
    <n v="1825.7784868909114"/>
    <s v="Vigente"/>
    <s v=""/>
  </r>
  <r>
    <s v="CR00149"/>
    <s v="CL0018"/>
    <x v="4"/>
    <x v="3"/>
    <x v="18"/>
    <n v="59028"/>
    <n v="0.11337463845134071"/>
    <n v="8.9898025577179741E-3"/>
    <n v="170"/>
    <n v="678.92585859313454"/>
    <n v="17"/>
    <n v="17"/>
    <n v="153"/>
    <s v="NO"/>
    <s v=""/>
    <n v="59028.000000000015"/>
    <n v="5638.9395960832881"/>
    <s v="Vigente"/>
    <s v=""/>
  </r>
  <r>
    <s v="CR00150"/>
    <s v="CL0118"/>
    <x v="4"/>
    <x v="6"/>
    <x v="135"/>
    <n v="110254"/>
    <n v="9.8735714210898121E-2"/>
    <n v="7.8775465506109033E-3"/>
    <n v="194"/>
    <n v="1110.9646274920226"/>
    <n v="1"/>
    <n v="2"/>
    <n v="193"/>
    <s v="SI"/>
    <n v="1"/>
    <n v="110254.00000000029"/>
    <n v="542.64503986315651"/>
    <s v="En mora"/>
    <n v="44"/>
  </r>
  <r>
    <s v="CR00151"/>
    <s v="CL0126"/>
    <x v="0"/>
    <x v="3"/>
    <x v="99"/>
    <n v="14241"/>
    <n v="0.33375607158192488"/>
    <n v="2.4290239010652526E-2"/>
    <n v="14"/>
    <n v="1212.1451831162155"/>
    <n v="1"/>
    <n v="1"/>
    <n v="13"/>
    <s v="NO"/>
    <s v=""/>
    <n v="14241.000000000004"/>
    <n v="194.9308974019298"/>
    <s v="Vigente"/>
    <s v=""/>
  </r>
  <r>
    <s v="CR00152"/>
    <s v="CL0120"/>
    <x v="4"/>
    <x v="4"/>
    <x v="136"/>
    <n v="125916"/>
    <n v="0.11742538526757228"/>
    <n v="9.295207584888221E-3"/>
    <n v="155"/>
    <n v="1536.6420478005448"/>
    <n v="5"/>
    <n v="5"/>
    <n v="150"/>
    <s v="NO"/>
    <s v=""/>
    <n v="125916.00000000016"/>
    <n v="3621.403787389821"/>
    <s v="Vigente"/>
    <s v=""/>
  </r>
  <r>
    <s v="CR00153"/>
    <s v="CL0120"/>
    <x v="0"/>
    <x v="4"/>
    <x v="53"/>
    <n v="3341"/>
    <n v="0.35082027408078825"/>
    <n v="2.5375959261896286E-2"/>
    <n v="20"/>
    <n v="215.07740794894914"/>
    <n v="5"/>
    <n v="5"/>
    <n v="15"/>
    <s v="NO"/>
    <s v=""/>
    <n v="3340.9999999999977"/>
    <n v="240.13703974474583"/>
    <s v="Vigente"/>
    <s v=""/>
  </r>
  <r>
    <s v="CR00154"/>
    <s v="CL0071"/>
    <x v="2"/>
    <x v="6"/>
    <x v="137"/>
    <n v="21684"/>
    <n v="0.27808717492665824"/>
    <n v="2.0657520072476565E-2"/>
    <n v="27"/>
    <n v="1055.8506459263922"/>
    <n v="21"/>
    <n v="21"/>
    <n v="6"/>
    <s v="NO"/>
    <s v=""/>
    <n v="21683.999999999971"/>
    <n v="5307.5302311209016"/>
    <s v="Vigente"/>
    <s v=""/>
  </r>
  <r>
    <s v="CR00155"/>
    <s v="CL0059"/>
    <x v="3"/>
    <x v="1"/>
    <x v="138"/>
    <n v="29084"/>
    <n v="0.4263090001783425"/>
    <n v="3.0032991581725899E-2"/>
    <n v="47"/>
    <n v="1162.9086651462878"/>
    <n v="7"/>
    <n v="7"/>
    <n v="40"/>
    <s v="NO"/>
    <s v=""/>
    <n v="29084.000000000018"/>
    <n v="3808.7010815559292"/>
    <s v="Vigente"/>
    <s v=""/>
  </r>
  <r>
    <s v="CR00156"/>
    <s v="CL0014"/>
    <x v="2"/>
    <x v="2"/>
    <x v="139"/>
    <n v="62617"/>
    <n v="0.30446224956383539"/>
    <n v="2.2396356075546686E-2"/>
    <n v="45"/>
    <n v="2222.8079390639423"/>
    <n v="1"/>
    <n v="1"/>
    <n v="44"/>
    <s v="NO"/>
    <m/>
    <n v="62617.000000000029"/>
    <n v="831.31905017505346"/>
    <s v="Vigente"/>
    <s v=""/>
  </r>
  <r>
    <s v="CR00157"/>
    <s v="CL0032"/>
    <x v="4"/>
    <x v="0"/>
    <x v="140"/>
    <n v="184789"/>
    <n v="0.12045087068449299"/>
    <n v="9.5226519335409598E-3"/>
    <n v="240"/>
    <n v="1961.3812090084632"/>
    <n v="27"/>
    <n v="29"/>
    <n v="213"/>
    <s v="SI"/>
    <n v="27"/>
    <n v="184788.99999999991"/>
    <n v="32168.530143228505"/>
    <s v="En mora"/>
    <n v="89"/>
  </r>
  <r>
    <s v="CR00158"/>
    <s v="CL0113"/>
    <x v="2"/>
    <x v="2"/>
    <x v="141"/>
    <n v="53263"/>
    <n v="0.30844354885073771"/>
    <n v="2.2656027761747799E-2"/>
    <n v="22"/>
    <n v="3101.0965367301724"/>
    <n v="22"/>
    <n v="22"/>
    <n v="0"/>
    <s v="NO"/>
    <s v=""/>
    <n v="0"/>
    <n v="0"/>
    <s v="Cancelado"/>
    <s v=""/>
  </r>
  <r>
    <s v="CR00159"/>
    <s v="CL0169"/>
    <x v="1"/>
    <x v="3"/>
    <x v="142"/>
    <n v="3880"/>
    <n v="0.50417281347674625"/>
    <n v="3.4605567754294908E-2"/>
    <n v="26"/>
    <n v="228.70342814082517"/>
    <n v="16"/>
    <n v="16"/>
    <n v="10"/>
    <s v="NO"/>
    <s v=""/>
    <n v="3880.0000000000009"/>
    <n v="1271.5625425608948"/>
    <s v="Vigente"/>
    <s v=""/>
  </r>
  <r>
    <s v="CR00160"/>
    <s v="CL0238"/>
    <x v="2"/>
    <x v="1"/>
    <x v="143"/>
    <n v="27725"/>
    <n v="0.28920623130620976"/>
    <n v="2.1394542473336164E-2"/>
    <n v="38"/>
    <n v="1073.304651122924"/>
    <n v="2"/>
    <n v="6"/>
    <n v="36"/>
    <s v="SI"/>
    <n v="2"/>
    <n v="27724.999999999982"/>
    <n v="687.39877593005838"/>
    <s v="En mora"/>
    <n v="147"/>
  </r>
  <r>
    <s v="CR00161"/>
    <s v="CL0249"/>
    <x v="3"/>
    <x v="3"/>
    <x v="144"/>
    <n v="49006"/>
    <n v="0.26710312721973928"/>
    <n v="1.9923652906141953E-2"/>
    <n v="26"/>
    <n v="2433.3021854945187"/>
    <n v="13"/>
    <n v="13"/>
    <n v="13"/>
    <s v="NO"/>
    <s v=""/>
    <n v="49005.999999999927"/>
    <n v="7129.9284114287439"/>
    <s v="Vigente"/>
    <s v=""/>
  </r>
  <r>
    <s v="CR00162"/>
    <s v="CL0019"/>
    <x v="4"/>
    <x v="3"/>
    <x v="145"/>
    <n v="261010"/>
    <n v="0.11690343726140945"/>
    <n v="9.2559124603728282E-3"/>
    <n v="214"/>
    <n v="2806.6444603284303"/>
    <n v="8"/>
    <n v="8"/>
    <n v="206"/>
    <s v="NO"/>
    <s v=""/>
    <n v="261009.99999999968"/>
    <n v="12695.772505057348"/>
    <s v="Vigente"/>
    <s v=""/>
  </r>
  <r>
    <s v="CR00163"/>
    <s v="CL0064"/>
    <x v="1"/>
    <x v="3"/>
    <x v="146"/>
    <n v="663"/>
    <n v="0.49404911496594772"/>
    <n v="3.4023493431510676E-2"/>
    <n v="30"/>
    <n v="35.608511252856417"/>
    <n v="0"/>
    <n v="0"/>
    <n v="30"/>
    <s v="NO"/>
    <s v=""/>
    <n v="663.00000000000034"/>
    <n v="0"/>
    <s v="Vigente"/>
    <s v=""/>
  </r>
  <r>
    <s v="CR00164"/>
    <s v="CL0117"/>
    <x v="4"/>
    <x v="5"/>
    <x v="147"/>
    <n v="139216"/>
    <n v="9.2905501437782728E-2"/>
    <n v="7.4307845603343026E-3"/>
    <n v="143"/>
    <n v="1583.9976542300108"/>
    <n v="11"/>
    <n v="12"/>
    <n v="132"/>
    <s v="SI"/>
    <n v="11"/>
    <n v="139215.99999999991"/>
    <n v="6715.0511196070411"/>
    <s v="En mora"/>
    <n v="50"/>
  </r>
  <r>
    <s v="CR00165"/>
    <s v="CL0007"/>
    <x v="1"/>
    <x v="3"/>
    <x v="148"/>
    <n v="8717"/>
    <n v="0.35331941639607367"/>
    <n v="2.5533912057735364E-2"/>
    <n v="35"/>
    <n v="379.67269861024351"/>
    <n v="16"/>
    <n v="16"/>
    <n v="19"/>
    <s v="NO"/>
    <s v=""/>
    <n v="8716.9999999999964"/>
    <n v="2089.8488920496102"/>
    <s v="Vigente"/>
    <s v=""/>
  </r>
  <r>
    <s v="CR00166"/>
    <s v="CL0240"/>
    <x v="4"/>
    <x v="4"/>
    <x v="149"/>
    <n v="220697"/>
    <n v="0.13236307622592747"/>
    <n v="1.0412727956020662E-2"/>
    <n v="206"/>
    <n v="2606.6043034102618"/>
    <n v="5"/>
    <n v="10"/>
    <n v="201"/>
    <s v="SI"/>
    <n v="5"/>
    <n v="220697.00000000017"/>
    <n v="7676.298216080434"/>
    <s v="En mora"/>
    <n v="161"/>
  </r>
  <r>
    <s v="CR00167"/>
    <s v="CL0134"/>
    <x v="1"/>
    <x v="3"/>
    <x v="150"/>
    <n v="14445"/>
    <n v="0.45022002993955695"/>
    <n v="3.1461031298444686E-2"/>
    <n v="6"/>
    <n v="2679.4376060521217"/>
    <n v="1"/>
    <n v="1"/>
    <n v="5"/>
    <s v="NO"/>
    <s v=""/>
    <n v="14445.000000000022"/>
    <n v="271.93760605212174"/>
    <s v="Vigente"/>
    <s v=""/>
  </r>
  <r>
    <s v="CR00168"/>
    <s v="CL0038"/>
    <x v="3"/>
    <x v="6"/>
    <x v="151"/>
    <n v="48818"/>
    <n v="0.38434481441377999"/>
    <n v="2.7472853882918979E-2"/>
    <n v="18"/>
    <n v="3474.0904655337949"/>
    <n v="3"/>
    <n v="3"/>
    <n v="15"/>
    <s v="NO"/>
    <s v=""/>
    <n v="48818.000000000036"/>
    <n v="2285.9380632680513"/>
    <s v="Vigente"/>
    <s v=""/>
  </r>
  <r>
    <s v="CR00169"/>
    <s v="CL0151"/>
    <x v="3"/>
    <x v="2"/>
    <x v="4"/>
    <n v="7838"/>
    <n v="0.28709581295820802"/>
    <n v="2.1255103393126973E-2"/>
    <n v="16"/>
    <n v="583.02479755547881"/>
    <n v="16"/>
    <n v="16"/>
    <n v="0"/>
    <s v="NO"/>
    <s v=""/>
    <n v="0"/>
    <n v="0"/>
    <s v="Cancelado"/>
    <s v=""/>
  </r>
  <r>
    <s v="CR00170"/>
    <s v="CL0071"/>
    <x v="1"/>
    <x v="6"/>
    <x v="136"/>
    <n v="9271"/>
    <n v="0.5192048675619908"/>
    <n v="3.5463263035860892E-2"/>
    <n v="20"/>
    <n v="655.05491703067548"/>
    <n v="5"/>
    <n v="5"/>
    <n v="15"/>
    <s v="NO"/>
    <s v=""/>
    <n v="9271.0000000000073"/>
    <n v="957.5245851533773"/>
    <s v="Vigente"/>
    <s v=""/>
  </r>
  <r>
    <s v="CR00171"/>
    <s v="CL0106"/>
    <x v="4"/>
    <x v="4"/>
    <x v="152"/>
    <n v="60334"/>
    <n v="0.10570262154970013"/>
    <n v="8.4085708923156144E-3"/>
    <n v="78"/>
    <n v="1057.8395273851304"/>
    <n v="20"/>
    <n v="20"/>
    <n v="58"/>
    <s v="NO"/>
    <s v=""/>
    <n v="60334.000000000327"/>
    <n v="5686.5341374461977"/>
    <s v="Vigente"/>
    <s v=""/>
  </r>
  <r>
    <s v="CR00172"/>
    <s v="CL0194"/>
    <x v="2"/>
    <x v="4"/>
    <x v="153"/>
    <n v="15472"/>
    <n v="0.34797501235640649"/>
    <n v="2.5195804326100468E-2"/>
    <n v="32"/>
    <n v="710.07892359352115"/>
    <n v="4"/>
    <n v="4"/>
    <n v="28"/>
    <s v="NO"/>
    <s v=""/>
    <n v="15472.000000000022"/>
    <n v="906.31569437408461"/>
    <s v="Vigente"/>
    <s v=""/>
  </r>
  <r>
    <s v="CR00173"/>
    <s v="CL0032"/>
    <x v="2"/>
    <x v="0"/>
    <x v="154"/>
    <n v="72780"/>
    <n v="0.22283018765989582"/>
    <n v="1.6905304187490477E-2"/>
    <n v="50"/>
    <n v="2168.0047319836267"/>
    <n v="50"/>
    <n v="50"/>
    <n v="0"/>
    <s v="NO"/>
    <s v=""/>
    <n v="0"/>
    <n v="0"/>
    <s v="Cancelado"/>
    <s v=""/>
  </r>
  <r>
    <s v="CR00174"/>
    <s v="CL0205"/>
    <x v="2"/>
    <x v="7"/>
    <x v="155"/>
    <n v="18641"/>
    <n v="0.24396574622402628"/>
    <n v="1.8358521380085646E-2"/>
    <n v="18"/>
    <n v="1225.5209363902113"/>
    <n v="4"/>
    <n v="4"/>
    <n v="14"/>
    <s v="NO"/>
    <s v=""/>
    <n v="18641.000000000047"/>
    <n v="759.63930111640036"/>
    <s v="Vigente"/>
    <s v=""/>
  </r>
  <r>
    <s v="CR00175"/>
    <s v="CL0077"/>
    <x v="1"/>
    <x v="5"/>
    <x v="142"/>
    <n v="3762"/>
    <n v="0.35511938238965612"/>
    <n v="2.5647509398594615E-2"/>
    <n v="12"/>
    <n v="368.18591391865664"/>
    <n v="12"/>
    <n v="12"/>
    <n v="0"/>
    <s v="NO"/>
    <s v=""/>
    <n v="0"/>
    <n v="0"/>
    <s v="Cancelado"/>
    <s v=""/>
  </r>
  <r>
    <s v="CR00176"/>
    <s v="CL0023"/>
    <x v="1"/>
    <x v="4"/>
    <x v="156"/>
    <n v="10720"/>
    <n v="0.50766459442211209"/>
    <n v="3.4805499234877413E-2"/>
    <n v="16"/>
    <n v="885.08717641497856"/>
    <n v="16"/>
    <n v="16"/>
    <n v="0"/>
    <s v="NO"/>
    <s v=""/>
    <n v="0"/>
    <n v="0"/>
    <s v="Cancelado"/>
    <s v=""/>
  </r>
  <r>
    <s v="CR00177"/>
    <s v="CL0002"/>
    <x v="0"/>
    <x v="2"/>
    <x v="68"/>
    <n v="7707"/>
    <n v="0.33816163929733822"/>
    <n v="2.4571759918595282E-2"/>
    <n v="20"/>
    <n v="492.38424986719605"/>
    <n v="1"/>
    <n v="1"/>
    <n v="19"/>
    <s v="NO"/>
    <s v=""/>
    <n v="7707.0000000000127"/>
    <n v="107.03424986719602"/>
    <s v="Vigente"/>
    <s v=""/>
  </r>
  <r>
    <s v="CR00178"/>
    <s v="CL0066"/>
    <x v="3"/>
    <x v="0"/>
    <x v="157"/>
    <n v="20839"/>
    <n v="0.26622665915974508"/>
    <n v="1.9864843299561397E-2"/>
    <n v="41"/>
    <n v="747.80574672875844"/>
    <n v="14"/>
    <n v="21"/>
    <n v="27"/>
    <s v="SI"/>
    <n v="14"/>
    <n v="20839.000000000015"/>
    <n v="3353.524356641643"/>
    <s v="En mora"/>
    <n v="216"/>
  </r>
  <r>
    <s v="CR00179"/>
    <s v="CL0147"/>
    <x v="1"/>
    <x v="7"/>
    <x v="158"/>
    <n v="7872"/>
    <n v="0.45081192102568124"/>
    <n v="3.1496106344677921E-2"/>
    <n v="26"/>
    <n v="447.96219736073294"/>
    <n v="5"/>
    <n v="5"/>
    <n v="21"/>
    <s v="NO"/>
    <s v=""/>
    <n v="7871.9999999999945"/>
    <n v="725.96483295751079"/>
    <s v="Vigente"/>
    <s v=""/>
  </r>
  <r>
    <s v="CR00180"/>
    <s v="CL0089"/>
    <x v="2"/>
    <x v="2"/>
    <x v="159"/>
    <n v="74311"/>
    <n v="0.31818131522323212"/>
    <n v="2.3288113224065876E-2"/>
    <n v="34"/>
    <n v="3187.9933293760928"/>
    <n v="11"/>
    <n v="11"/>
    <n v="23"/>
    <s v="NO"/>
    <s v=""/>
    <n v="74311.000000000015"/>
    <n v="11026.132505489961"/>
    <s v="Vigente"/>
    <s v=""/>
  </r>
  <r>
    <s v="CR00181"/>
    <s v="CL0208"/>
    <x v="0"/>
    <x v="4"/>
    <x v="11"/>
    <n v="3048"/>
    <n v="0.34379588622686741"/>
    <n v="2.4930559380969219E-2"/>
    <n v="19"/>
    <n v="203.35869569104335"/>
    <n v="13"/>
    <n v="13"/>
    <n v="6"/>
    <s v="NO"/>
    <s v=""/>
    <n v="3047.9999999999977"/>
    <n v="558.18935977303727"/>
    <s v="Vigente"/>
    <s v=""/>
  </r>
  <r>
    <s v="CR00182"/>
    <s v="CL0007"/>
    <x v="1"/>
    <x v="3"/>
    <x v="160"/>
    <n v="658"/>
    <n v="0.53266342490827023"/>
    <n v="3.6224602942218631E-2"/>
    <n v="29"/>
    <n v="37.030339537297344"/>
    <n v="22"/>
    <n v="22"/>
    <n v="7"/>
    <s v="NO"/>
    <s v=""/>
    <n v="658.00000000000023"/>
    <n v="315.49505602743818"/>
    <s v="Vigente"/>
    <s v=""/>
  </r>
  <r>
    <s v="CR00183"/>
    <s v="CL0128"/>
    <x v="1"/>
    <x v="6"/>
    <x v="109"/>
    <n v="6195"/>
    <n v="0.44030906236591832"/>
    <n v="3.0871756455305155E-2"/>
    <n v="31"/>
    <n v="313.33712638953011"/>
    <n v="4"/>
    <n v="4"/>
    <n v="27"/>
    <s v="NO"/>
    <s v=""/>
    <n v="6194.9999999999945"/>
    <n v="453.99366684844307"/>
    <s v="Vigente"/>
    <s v=""/>
  </r>
  <r>
    <s v="CR00184"/>
    <s v="CL0161"/>
    <x v="3"/>
    <x v="2"/>
    <x v="31"/>
    <n v="5956"/>
    <n v="0.44502974636008097"/>
    <n v="3.1152895460702767E-2"/>
    <n v="26"/>
    <n v="337.60428484248592"/>
    <n v="6"/>
    <n v="6"/>
    <n v="20"/>
    <s v="NO"/>
    <s v=""/>
    <n v="5956.0000000000045"/>
    <n v="651.16417059337721"/>
    <s v="Vigente"/>
    <s v=""/>
  </r>
  <r>
    <s v="CR00185"/>
    <s v="CL0015"/>
    <x v="4"/>
    <x v="1"/>
    <x v="161"/>
    <n v="190941"/>
    <n v="9.255394216584556E-2"/>
    <n v="7.4037752214417551E-3"/>
    <n v="225"/>
    <n v="1745.7063830802633"/>
    <n v="22"/>
    <n v="42"/>
    <n v="203"/>
    <s v="SI"/>
    <n v="22"/>
    <n v="190940.99999999962"/>
    <n v="19735.753761099128"/>
    <s v="En mora"/>
    <n v="622"/>
  </r>
  <r>
    <s v="CR00186"/>
    <s v="CL0193"/>
    <x v="4"/>
    <x v="6"/>
    <x v="162"/>
    <n v="259154"/>
    <n v="0.13574598819156011"/>
    <n v="1.0663933154599459E-2"/>
    <n v="192"/>
    <n v="3178.2587623530271"/>
    <n v="11"/>
    <n v="11"/>
    <n v="181"/>
    <s v="NO"/>
    <s v=""/>
    <n v="259154.00000000017"/>
    <n v="20113.481802549963"/>
    <s v="Vigente"/>
    <s v=""/>
  </r>
  <r>
    <s v="CR00187"/>
    <s v="CL0104"/>
    <x v="2"/>
    <x v="6"/>
    <x v="163"/>
    <n v="11047"/>
    <n v="0.23169269181597882"/>
    <n v="1.7517444807172655E-2"/>
    <n v="60"/>
    <n v="298.98856751983129"/>
    <n v="27"/>
    <n v="31"/>
    <n v="33"/>
    <s v="SI"/>
    <n v="27"/>
    <n v="11046.999999999984"/>
    <n v="3101.5413230354452"/>
    <s v="En mora"/>
    <n v="143"/>
  </r>
  <r>
    <s v="CR00188"/>
    <s v="CL0035"/>
    <x v="2"/>
    <x v="1"/>
    <x v="164"/>
    <n v="53533"/>
    <n v="0.31179695002647334"/>
    <n v="2.2874184808204356E-2"/>
    <n v="24"/>
    <n v="2923.3370592911347"/>
    <n v="10"/>
    <n v="10"/>
    <n v="14"/>
    <s v="NO"/>
    <s v=""/>
    <n v="53532.999999999905"/>
    <n v="6927.9539262446815"/>
    <s v="Vigente"/>
    <s v=""/>
  </r>
  <r>
    <s v="CR00189"/>
    <s v="CL0163"/>
    <x v="0"/>
    <x v="1"/>
    <x v="165"/>
    <n v="18224"/>
    <n v="0.33638610699740701"/>
    <n v="2.4458403689341157E-2"/>
    <n v="12"/>
    <n v="1770.7845202410601"/>
    <n v="12"/>
    <n v="12"/>
    <n v="0"/>
    <s v="NO"/>
    <s v=""/>
    <n v="0"/>
    <n v="0"/>
    <s v="Cancelado"/>
    <s v=""/>
  </r>
  <r>
    <s v="CR00190"/>
    <s v="CL0180"/>
    <x v="2"/>
    <x v="6"/>
    <x v="109"/>
    <n v="30521"/>
    <n v="0.25709184591875289"/>
    <n v="1.9249680795478508E-2"/>
    <n v="15"/>
    <n v="2361.9983940287275"/>
    <n v="4"/>
    <n v="4"/>
    <n v="11"/>
    <s v="NO"/>
    <s v=""/>
    <n v="30521.000000000029"/>
    <n v="1309.0602427815766"/>
    <s v="Vigente"/>
    <s v=""/>
  </r>
  <r>
    <s v="CR00191"/>
    <s v="CL0141"/>
    <x v="2"/>
    <x v="7"/>
    <x v="166"/>
    <n v="40969"/>
    <n v="0.34754964995040849"/>
    <n v="2.5168841484744187E-2"/>
    <n v="18"/>
    <n v="2858.47034669513"/>
    <n v="5"/>
    <n v="5"/>
    <n v="13"/>
    <s v="NO"/>
    <s v=""/>
    <n v="40968.999999999993"/>
    <n v="2912.073955697872"/>
    <s v="Vigente"/>
    <s v=""/>
  </r>
  <r>
    <s v="CR00192"/>
    <s v="CL0108"/>
    <x v="0"/>
    <x v="0"/>
    <x v="167"/>
    <n v="5785"/>
    <n v="0.31510860662866824"/>
    <n v="2.3089125014503775E-2"/>
    <n v="12"/>
    <n v="557.45805240091522"/>
    <n v="12"/>
    <n v="12"/>
    <n v="0"/>
    <s v="NO"/>
    <s v=""/>
    <n v="0"/>
    <n v="0"/>
    <s v="Cancelado"/>
    <s v=""/>
  </r>
  <r>
    <s v="CR00193"/>
    <s v="CL0114"/>
    <x v="4"/>
    <x v="1"/>
    <x v="168"/>
    <n v="268487"/>
    <n v="9.8681449774393803E-2"/>
    <n v="7.8733983627985449E-3"/>
    <n v="159"/>
    <n v="2966.36331923632"/>
    <n v="3"/>
    <n v="3"/>
    <n v="156"/>
    <s v="NO"/>
    <s v=""/>
    <n v="268487.00000000023"/>
    <n v="3833.2975048787707"/>
    <s v="Vigente"/>
    <s v=""/>
  </r>
  <r>
    <s v="CR00194"/>
    <s v="CL0136"/>
    <x v="0"/>
    <x v="2"/>
    <x v="169"/>
    <n v="19264"/>
    <n v="0.37772759296545261"/>
    <n v="2.7062674484099603E-2"/>
    <n v="8"/>
    <n v="2710.3798755708722"/>
    <n v="8"/>
    <n v="8"/>
    <n v="0"/>
    <s v="NO"/>
    <s v=""/>
    <n v="0"/>
    <n v="0"/>
    <s v="Cancelado"/>
    <s v=""/>
  </r>
  <r>
    <s v="CR00195"/>
    <s v="CL0050"/>
    <x v="1"/>
    <x v="6"/>
    <x v="170"/>
    <n v="3041"/>
    <n v="0.41336766362661059"/>
    <n v="2.9250916939341121E-2"/>
    <n v="29"/>
    <n v="156.99112840828977"/>
    <n v="29"/>
    <n v="29"/>
    <n v="0"/>
    <s v="NO"/>
    <s v=""/>
    <n v="0"/>
    <n v="0"/>
    <s v="Cancelado"/>
    <s v=""/>
  </r>
  <r>
    <s v="CR00196"/>
    <s v="CL0140"/>
    <x v="3"/>
    <x v="7"/>
    <x v="171"/>
    <n v="38526"/>
    <n v="0.2958385134457806"/>
    <n v="2.1831391146246881E-2"/>
    <n v="11"/>
    <n v="3977.6298205284634"/>
    <n v="6"/>
    <n v="6"/>
    <n v="5"/>
    <s v="NO"/>
    <s v=""/>
    <n v="38526.000000000015"/>
    <n v="2851.5971049889617"/>
    <s v="Vigente"/>
    <s v=""/>
  </r>
  <r>
    <s v="CR00197"/>
    <s v="CL0221"/>
    <x v="4"/>
    <x v="6"/>
    <x v="172"/>
    <n v="42233"/>
    <n v="0.12717339918488357"/>
    <n v="1.0026017267318776E-2"/>
    <n v="141"/>
    <n v="560.80887438294076"/>
    <n v="1"/>
    <n v="2"/>
    <n v="140"/>
    <s v="SI"/>
    <n v="1"/>
    <n v="42233.000000000116"/>
    <n v="261.28405168790528"/>
    <s v="En mora"/>
    <n v="56"/>
  </r>
  <r>
    <s v="CR00198"/>
    <s v="CL0171"/>
    <x v="3"/>
    <x v="7"/>
    <x v="173"/>
    <n v="13633"/>
    <n v="0.27271926475701364"/>
    <n v="2.0299604160321838E-2"/>
    <n v="27"/>
    <n v="660.85841022540342"/>
    <n v="26"/>
    <n v="26"/>
    <n v="1"/>
    <s v="NO"/>
    <s v=""/>
    <n v="13633.000000000013"/>
    <n v="4054.2445917864147"/>
    <s v="Vigente"/>
    <s v=""/>
  </r>
  <r>
    <s v="CR00199"/>
    <s v="CL0189"/>
    <x v="0"/>
    <x v="4"/>
    <x v="174"/>
    <n v="4426"/>
    <n v="0.29612129237979468"/>
    <n v="2.1849971361049825E-2"/>
    <n v="19"/>
    <n v="287.13752844142169"/>
    <n v="4"/>
    <n v="4"/>
    <n v="15"/>
    <s v="NO"/>
    <s v=""/>
    <n v="4425.9999999999909"/>
    <n v="216.7606400814762"/>
    <s v="Vigente"/>
    <s v=""/>
  </r>
  <r>
    <s v="CR00200"/>
    <s v="CL0120"/>
    <x v="4"/>
    <x v="4"/>
    <x v="139"/>
    <n v="214428"/>
    <n v="0.1174326234362484"/>
    <n v="9.2957523958561161E-3"/>
    <n v="167"/>
    <n v="2533.5972153833945"/>
    <n v="1"/>
    <n v="1"/>
    <n v="166"/>
    <s v="NO"/>
    <s v=""/>
    <n v="214428.0000000002"/>
    <n v="1249.5972153833945"/>
    <s v="Vigente"/>
    <s v=""/>
  </r>
  <r>
    <s v="CR00201"/>
    <s v="CL0121"/>
    <x v="4"/>
    <x v="1"/>
    <x v="175"/>
    <n v="283226"/>
    <n v="0.11457686883358743"/>
    <n v="9.0805505579154566E-3"/>
    <n v="132"/>
    <n v="3691.1652987190146"/>
    <n v="16"/>
    <n v="16"/>
    <n v="116"/>
    <s v="NO"/>
    <s v=""/>
    <n v="283226.00000000111"/>
    <n v="24728.220537079993"/>
    <s v="Vigente"/>
    <s v=""/>
  </r>
  <r>
    <s v="CR00202"/>
    <s v="CL0028"/>
    <x v="2"/>
    <x v="6"/>
    <x v="176"/>
    <n v="26588"/>
    <n v="0.20287159085206269"/>
    <n v="1.5511717758301069E-2"/>
    <n v="14"/>
    <n v="2127.4479749568059"/>
    <n v="1"/>
    <n v="1"/>
    <n v="13"/>
    <s v="NO"/>
    <s v=""/>
    <n v="26588.000000000011"/>
    <n v="228.30511781394878"/>
    <s v="Vigente"/>
    <s v=""/>
  </r>
  <r>
    <s v="CR00203"/>
    <s v="CL0031"/>
    <x v="3"/>
    <x v="7"/>
    <x v="177"/>
    <n v="45318"/>
    <n v="0.25053098026797388"/>
    <n v="1.8805321194014457E-2"/>
    <n v="41"/>
    <n v="1595.5150829978484"/>
    <n v="6"/>
    <n v="34"/>
    <n v="35"/>
    <s v="SI"/>
    <n v="6"/>
    <n v="45317.999999999985"/>
    <n v="2941.1880589627003"/>
    <s v="En mora"/>
    <n v="856"/>
  </r>
  <r>
    <s v="CR00204"/>
    <s v="CL0061"/>
    <x v="4"/>
    <x v="1"/>
    <x v="178"/>
    <n v="249980"/>
    <n v="9.8632022519009738E-2"/>
    <n v="7.8696197847676341E-3"/>
    <n v="97"/>
    <n v="3694.3317468222817"/>
    <n v="10"/>
    <n v="10"/>
    <n v="87"/>
    <s v="NO"/>
    <s v=""/>
    <n v="249979.99999999983"/>
    <n v="11172.183447604262"/>
    <s v="Vigente"/>
    <s v=""/>
  </r>
  <r>
    <s v="CR00205"/>
    <s v="CL0087"/>
    <x v="4"/>
    <x v="3"/>
    <x v="179"/>
    <n v="55666"/>
    <n v="0.11527583440218461"/>
    <n v="9.1332693620926886E-3"/>
    <n v="107"/>
    <n v="817.40196750869586"/>
    <n v="19"/>
    <n v="19"/>
    <n v="88"/>
    <s v="NO"/>
    <s v=""/>
    <n v="55666.000000000007"/>
    <n v="5646.0205602353135"/>
    <s v="Vigente"/>
    <s v=""/>
  </r>
  <r>
    <s v="CR00206"/>
    <s v="CL0082"/>
    <x v="2"/>
    <x v="1"/>
    <x v="180"/>
    <n v="59486"/>
    <n v="0.34196106212590227"/>
    <n v="2.4813865989191664E-2"/>
    <n v="23"/>
    <n v="3425.3249104555825"/>
    <n v="23"/>
    <n v="23"/>
    <n v="0"/>
    <s v="NO"/>
    <s v=""/>
    <n v="0"/>
    <n v="0"/>
    <s v="Cancelado"/>
    <s v=""/>
  </r>
  <r>
    <s v="CR00207"/>
    <s v="CL0166"/>
    <x v="4"/>
    <x v="4"/>
    <x v="181"/>
    <n v="49548"/>
    <n v="9.7992330238079836E-2"/>
    <n v="7.8207030012034107E-3"/>
    <n v="138"/>
    <n v="588.26036719969431"/>
    <n v="9"/>
    <n v="54"/>
    <n v="129"/>
    <s v="SI"/>
    <n v="9"/>
    <n v="49548.000000000051"/>
    <n v="2062.9520004494225"/>
    <s v="En mora"/>
    <n v="1399"/>
  </r>
  <r>
    <s v="CR00208"/>
    <s v="CL0092"/>
    <x v="0"/>
    <x v="3"/>
    <x v="182"/>
    <n v="13501"/>
    <n v="0.26055043601280065"/>
    <n v="1.9483071951376774E-2"/>
    <n v="12"/>
    <n v="1272.5996350335763"/>
    <n v="12"/>
    <n v="12"/>
    <n v="0"/>
    <s v="NO"/>
    <s v=""/>
    <n v="0"/>
    <n v="0"/>
    <s v="Cancelado"/>
    <s v=""/>
  </r>
  <r>
    <s v="CR00209"/>
    <s v="CL0113"/>
    <x v="1"/>
    <x v="2"/>
    <x v="183"/>
    <n v="3969"/>
    <n v="0.37163139485307584"/>
    <n v="2.6683190208707019E-2"/>
    <n v="29"/>
    <n v="198.30792317084905"/>
    <n v="28"/>
    <n v="28"/>
    <n v="1"/>
    <s v="NO"/>
    <s v=""/>
    <n v="3969.0000000000032"/>
    <n v="1720.4839177492904"/>
    <s v="Vigente"/>
    <s v=""/>
  </r>
  <r>
    <s v="CR00210"/>
    <s v="CL0155"/>
    <x v="0"/>
    <x v="2"/>
    <x v="184"/>
    <n v="14440"/>
    <n v="0.24914862382876013"/>
    <n v="1.8711423337654187E-2"/>
    <n v="8"/>
    <n v="1960.2694539841104"/>
    <n v="8"/>
    <n v="8"/>
    <n v="0"/>
    <s v="NO"/>
    <s v=""/>
    <n v="0"/>
    <n v="0"/>
    <s v="Cancelado"/>
    <s v=""/>
  </r>
  <r>
    <s v="CR00211"/>
    <s v="CL0008"/>
    <x v="3"/>
    <x v="7"/>
    <x v="7"/>
    <n v="47753"/>
    <n v="0.36355991432166673"/>
    <n v="2.6178360200839412E-2"/>
    <n v="30"/>
    <n v="2317.5229731865975"/>
    <n v="1"/>
    <n v="1"/>
    <n v="29"/>
    <s v="NO"/>
    <s v=""/>
    <n v="47753.00000000008"/>
    <n v="725.75630651993072"/>
    <s v="Vigente"/>
    <s v=""/>
  </r>
  <r>
    <s v="CR00212"/>
    <s v="CL0197"/>
    <x v="1"/>
    <x v="2"/>
    <x v="185"/>
    <n v="8135"/>
    <n v="0.40942675271876167"/>
    <n v="2.9011454646886037E-2"/>
    <n v="17"/>
    <n v="612.96617090071345"/>
    <n v="17"/>
    <n v="17"/>
    <n v="0"/>
    <s v="NO"/>
    <s v=""/>
    <n v="0"/>
    <n v="0"/>
    <s v="Cancelado"/>
    <s v=""/>
  </r>
  <r>
    <s v="CR00213"/>
    <s v="CL0207"/>
    <x v="3"/>
    <x v="2"/>
    <x v="186"/>
    <n v="7835"/>
    <n v="0.27424614453022422"/>
    <n v="2.0401552465762141E-2"/>
    <n v="41"/>
    <n v="283.86939061424158"/>
    <n v="2"/>
    <n v="2"/>
    <n v="39"/>
    <s v="NO"/>
    <s v=""/>
    <n v="7834.9999999999964"/>
    <n v="185.54365927726369"/>
    <s v="Vigente"/>
    <s v=""/>
  </r>
  <r>
    <s v="CR00214"/>
    <s v="CL0116"/>
    <x v="4"/>
    <x v="0"/>
    <x v="187"/>
    <n v="78659"/>
    <n v="0.12706270480590839"/>
    <n v="1.0017751071280889E-2"/>
    <n v="84"/>
    <n v="1389.4425165237574"/>
    <n v="3"/>
    <n v="3"/>
    <n v="81"/>
    <s v="NO"/>
    <s v=""/>
    <n v="78659.00000000016"/>
    <n v="1359.0775495712721"/>
    <s v="Vigente"/>
    <s v=""/>
  </r>
  <r>
    <s v="CR00215"/>
    <s v="CL0227"/>
    <x v="0"/>
    <x v="6"/>
    <x v="188"/>
    <n v="17536"/>
    <n v="0.31593974116072054"/>
    <n v="2.3142991192662388E-2"/>
    <n v="21"/>
    <n v="1063.7782171612553"/>
    <n v="1"/>
    <n v="1"/>
    <n v="20"/>
    <s v="NO"/>
    <s v=""/>
    <n v="17536.000000000029"/>
    <n v="228.73059811363626"/>
    <s v="Vigente"/>
    <s v=""/>
  </r>
  <r>
    <s v="CR00216"/>
    <s v="CL0177"/>
    <x v="4"/>
    <x v="0"/>
    <x v="189"/>
    <n v="135164"/>
    <n v="9.448041746901012E-2"/>
    <n v="7.5516833886475343E-3"/>
    <n v="175"/>
    <n v="1394.5167367942579"/>
    <n v="5"/>
    <n v="5"/>
    <n v="170"/>
    <s v="NO"/>
    <s v=""/>
    <n v="135164.00000000041"/>
    <n v="3110.7551125427185"/>
    <s v="Vigente"/>
    <s v=""/>
  </r>
  <r>
    <s v="CR00217"/>
    <s v="CL0151"/>
    <x v="3"/>
    <x v="2"/>
    <x v="121"/>
    <n v="44490"/>
    <n v="0.34379559222254918"/>
    <n v="2.4930540694225067E-2"/>
    <n v="29"/>
    <n v="2173.214621415435"/>
    <n v="21"/>
    <n v="29"/>
    <n v="8"/>
    <s v="SI"/>
    <n v="21"/>
    <n v="44490"/>
    <n v="13420.610497999998"/>
    <s v="En mora"/>
    <n v="298"/>
  </r>
  <r>
    <s v="CR00218"/>
    <s v="CL0224"/>
    <x v="2"/>
    <x v="5"/>
    <x v="190"/>
    <n v="42714"/>
    <n v="0.2363139125380867"/>
    <n v="1.7835036609246568E-2"/>
    <n v="37"/>
    <n v="1586.8300973753824"/>
    <n v="1"/>
    <n v="1"/>
    <n v="36"/>
    <s v="NO"/>
    <s v=""/>
    <n v="42714.000000000007"/>
    <n v="432.39766494294997"/>
    <s v="Vigente"/>
    <s v=""/>
  </r>
  <r>
    <s v="CR00219"/>
    <s v="CL0070"/>
    <x v="1"/>
    <x v="0"/>
    <x v="191"/>
    <n v="4867"/>
    <n v="0.53036116626276508"/>
    <n v="3.6094801607634119E-2"/>
    <n v="19"/>
    <n v="358.37925171693712"/>
    <n v="3"/>
    <n v="19"/>
    <n v="16"/>
    <s v="SI"/>
    <n v="3"/>
    <n v="4867.0000000000064"/>
    <n v="306.664070940285"/>
    <s v="En mora"/>
    <n v="676"/>
  </r>
  <r>
    <s v="CR00220"/>
    <s v="CL0146"/>
    <x v="3"/>
    <x v="1"/>
    <x v="192"/>
    <n v="34690"/>
    <n v="0.3934446161431745"/>
    <n v="2.8033994665579876E-2"/>
    <n v="19"/>
    <n v="2379.8912344376154"/>
    <n v="13"/>
    <n v="13"/>
    <n v="6"/>
    <s v="NO"/>
    <s v=""/>
    <n v="34689.999999999956"/>
    <n v="7203.3228897942618"/>
    <s v="Vigente"/>
    <s v=""/>
  </r>
  <r>
    <s v="CR00221"/>
    <s v="CL0193"/>
    <x v="2"/>
    <x v="6"/>
    <x v="193"/>
    <n v="89832"/>
    <n v="0.3250007680252488"/>
    <n v="2.3728225483517384E-2"/>
    <n v="48"/>
    <n v="3155.2438190537005"/>
    <n v="19"/>
    <n v="19"/>
    <n v="29"/>
    <s v="NO"/>
    <s v=""/>
    <n v="89831.999999999942"/>
    <n v="24391.132562020313"/>
    <s v="Vigente"/>
    <s v=""/>
  </r>
  <r>
    <s v="CR00222"/>
    <s v="CL0003"/>
    <x v="1"/>
    <x v="0"/>
    <x v="194"/>
    <n v="5781"/>
    <n v="0.44052807265951155"/>
    <n v="3.0884818223245958E-2"/>
    <n v="28"/>
    <n v="311.43047810963179"/>
    <n v="26"/>
    <n v="26"/>
    <n v="2"/>
    <s v="NO"/>
    <s v=""/>
    <n v="5780.9999999999918"/>
    <n v="2729.1210022789987"/>
    <s v="Vigente"/>
    <s v=""/>
  </r>
  <r>
    <s v="CR00223"/>
    <s v="CL0163"/>
    <x v="1"/>
    <x v="1"/>
    <x v="195"/>
    <n v="2110"/>
    <n v="0.41684847075348908"/>
    <n v="2.9461913365634196E-2"/>
    <n v="25"/>
    <n v="120.44745297505142"/>
    <n v="9"/>
    <n v="10"/>
    <n v="16"/>
    <s v="SI"/>
    <n v="9"/>
    <n v="2110.0000000000023"/>
    <n v="324.42707677546275"/>
    <s v="En mora"/>
    <n v="32"/>
  </r>
  <r>
    <s v="CR00224"/>
    <s v="CL0110"/>
    <x v="1"/>
    <x v="6"/>
    <x v="126"/>
    <n v="8956"/>
    <n v="0.39826330551732914"/>
    <n v="2.8329780982461417E-2"/>
    <n v="33"/>
    <n v="421.30228514497213"/>
    <n v="2"/>
    <n v="2"/>
    <n v="31"/>
    <s v="NO"/>
    <s v=""/>
    <n v="8955.9999999999945"/>
    <n v="299.81669150206545"/>
    <s v="Vigente"/>
    <s v=""/>
  </r>
  <r>
    <s v="CR00225"/>
    <s v="CL0061"/>
    <x v="2"/>
    <x v="1"/>
    <x v="196"/>
    <n v="38473"/>
    <n v="0.33921997783809565"/>
    <n v="2.4639262408757467E-2"/>
    <n v="34"/>
    <n v="1684.0567293564445"/>
    <n v="12"/>
    <n v="19"/>
    <n v="22"/>
    <s v="SI"/>
    <n v="12"/>
    <n v="38472.999999999993"/>
    <n v="6629.9748699243937"/>
    <s v="En mora"/>
    <n v="236"/>
  </r>
  <r>
    <s v="CR00226"/>
    <s v="CL0206"/>
    <x v="4"/>
    <x v="1"/>
    <x v="157"/>
    <n v="36457"/>
    <n v="9.4861626069937199E-2"/>
    <n v="7.5809229910026588E-3"/>
    <n v="71"/>
    <n v="665.90265666719017"/>
    <n v="21"/>
    <n v="21"/>
    <n v="50"/>
    <s v="NO"/>
    <s v=""/>
    <n v="36457.000000000116"/>
    <n v="3200.8994519828248"/>
    <s v="Vigente"/>
    <s v=""/>
  </r>
  <r>
    <s v="CR00227"/>
    <s v="CL0012"/>
    <x v="0"/>
    <x v="6"/>
    <x v="197"/>
    <n v="2095"/>
    <n v="0.24478792205488759"/>
    <n v="1.841459314368743E-2"/>
    <n v="13"/>
    <n v="182.68430626243699"/>
    <n v="13"/>
    <n v="13"/>
    <n v="0"/>
    <s v="NO"/>
    <s v=""/>
    <n v="0"/>
    <n v="0"/>
    <s v="Cancelado"/>
    <s v=""/>
  </r>
  <r>
    <s v="CR00228"/>
    <s v="CL0139"/>
    <x v="2"/>
    <x v="7"/>
    <x v="198"/>
    <n v="50697"/>
    <n v="0.26278834512595284"/>
    <n v="1.963377702122826E-2"/>
    <n v="24"/>
    <n v="2669.2989265366214"/>
    <n v="17"/>
    <n v="17"/>
    <n v="7"/>
    <s v="NO"/>
    <s v=""/>
    <n v="50696.999999999971"/>
    <n v="9467.7067511225632"/>
    <s v="Vigente"/>
    <s v=""/>
  </r>
  <r>
    <s v="CR00229"/>
    <s v="CL0048"/>
    <x v="1"/>
    <x v="7"/>
    <x v="199"/>
    <n v="693"/>
    <n v="0.52206215547872259"/>
    <n v="3.5625413063379519E-2"/>
    <n v="12"/>
    <n v="71.978587324549352"/>
    <n v="12"/>
    <n v="12"/>
    <n v="0"/>
    <s v="NO"/>
    <s v=""/>
    <n v="0"/>
    <n v="0"/>
    <s v="Cancelado"/>
    <s v=""/>
  </r>
  <r>
    <s v="CR00230"/>
    <s v="CL0049"/>
    <x v="4"/>
    <x v="2"/>
    <x v="200"/>
    <n v="207130"/>
    <n v="9.678241146096267E-2"/>
    <n v="7.7281099530430719E-3"/>
    <n v="98"/>
    <n v="3021.7855990664616"/>
    <n v="19"/>
    <n v="19"/>
    <n v="79"/>
    <s v="NO"/>
    <s v=""/>
    <n v="207129.99999999948"/>
    <n v="17256.069239405631"/>
    <s v="Vigente"/>
    <s v=""/>
  </r>
  <r>
    <s v="CR00231"/>
    <s v="CL0191"/>
    <x v="1"/>
    <x v="6"/>
    <x v="201"/>
    <n v="6995"/>
    <n v="0.52801326448489827"/>
    <n v="3.5962242425275903E-2"/>
    <n v="36"/>
    <n v="349.52741034666531"/>
    <n v="2"/>
    <n v="8"/>
    <n v="34"/>
    <s v="SI"/>
    <n v="2"/>
    <n v="6995.0000000000027"/>
    <n v="310.44370958221953"/>
    <s v="En mora"/>
    <n v="199"/>
  </r>
  <r>
    <s v="CR00232"/>
    <s v="CL0203"/>
    <x v="0"/>
    <x v="2"/>
    <x v="202"/>
    <n v="18472"/>
    <n v="0.23237326597016356"/>
    <n v="1.7564285546761704E-2"/>
    <n v="15"/>
    <n v="1411.5274494213982"/>
    <n v="13"/>
    <n v="13"/>
    <n v="2"/>
    <s v="NO"/>
    <s v=""/>
    <n v="18471.999999999942"/>
    <n v="2340.7901758115086"/>
    <s v="Vigente"/>
    <s v=""/>
  </r>
  <r>
    <s v="CR00233"/>
    <s v="CL0022"/>
    <x v="1"/>
    <x v="4"/>
    <x v="98"/>
    <n v="12992"/>
    <n v="0.54135952706941604"/>
    <n v="3.6713281991781033E-2"/>
    <n v="27"/>
    <n v="766.55157680000582"/>
    <n v="17"/>
    <n v="17"/>
    <n v="10"/>
    <s v="NO"/>
    <s v=""/>
    <n v="12991.999999999991"/>
    <n v="4851.2286574519521"/>
    <s v="Vigente"/>
    <s v=""/>
  </r>
  <r>
    <s v="CR00234"/>
    <s v="CL0234"/>
    <x v="3"/>
    <x v="2"/>
    <x v="155"/>
    <n v="49799"/>
    <n v="0.3793043707117103"/>
    <n v="2.7160577286297949E-2"/>
    <n v="36"/>
    <n v="2185.3814902618869"/>
    <n v="4"/>
    <n v="4"/>
    <n v="32"/>
    <s v="NO"/>
    <s v=""/>
    <n v="49798.999999999935"/>
    <n v="3208.3037388253251"/>
    <s v="Vigente"/>
    <s v=""/>
  </r>
  <r>
    <s v="CR00235"/>
    <s v="CL0004"/>
    <x v="3"/>
    <x v="0"/>
    <x v="95"/>
    <n v="41640"/>
    <n v="0.2998877321535659"/>
    <n v="2.2097094567480102E-2"/>
    <n v="20"/>
    <n v="2598.392298166621"/>
    <n v="20"/>
    <n v="20"/>
    <n v="0"/>
    <s v="NO"/>
    <s v=""/>
    <n v="0"/>
    <n v="0"/>
    <s v="Cancelado"/>
    <s v=""/>
  </r>
  <r>
    <s v="CR00236"/>
    <s v="CL0083"/>
    <x v="3"/>
    <x v="5"/>
    <x v="203"/>
    <n v="32842"/>
    <n v="0.34088979541780046"/>
    <n v="2.4745666614533368E-2"/>
    <n v="39"/>
    <n v="1322.4349077600698"/>
    <n v="9"/>
    <n v="12"/>
    <n v="30"/>
    <s v="SI"/>
    <n v="9"/>
    <n v="32842.000000000029"/>
    <n v="4322.9910929175512"/>
    <s v="En mora"/>
    <n v="115"/>
  </r>
  <r>
    <s v="CR00237"/>
    <s v="CL0037"/>
    <x v="2"/>
    <x v="5"/>
    <x v="53"/>
    <n v="31575"/>
    <n v="0.23896879189364195"/>
    <n v="1.801700045768162E-2"/>
    <n v="32"/>
    <n v="1306.9673194628779"/>
    <n v="5"/>
    <n v="5"/>
    <n v="27"/>
    <s v="NO"/>
    <s v=""/>
    <n v="31574.999999999971"/>
    <n v="1601.2428473143893"/>
    <s v="Vigente"/>
    <s v=""/>
  </r>
  <r>
    <s v="CR00238"/>
    <s v="CL0208"/>
    <x v="0"/>
    <x v="4"/>
    <x v="204"/>
    <n v="18074"/>
    <n v="0.3142066036161491"/>
    <n v="2.3030630498258819E-2"/>
    <n v="15"/>
    <n v="1438.7080821996983"/>
    <n v="15"/>
    <n v="15"/>
    <n v="0"/>
    <s v="NO"/>
    <s v=""/>
    <n v="0"/>
    <n v="0"/>
    <s v="Cancelado"/>
    <s v=""/>
  </r>
  <r>
    <s v="CR00239"/>
    <s v="CL0133"/>
    <x v="0"/>
    <x v="1"/>
    <x v="65"/>
    <n v="16878"/>
    <n v="0.26868874943548049"/>
    <n v="2.0029950936149676E-2"/>
    <n v="24"/>
    <n v="892.66117446322016"/>
    <n v="9"/>
    <n v="9"/>
    <n v="15"/>
    <s v="NO"/>
    <s v=""/>
    <n v="16877.999999999982"/>
    <n v="1704.7005701689818"/>
    <s v="Vigente"/>
    <s v=""/>
  </r>
  <r>
    <s v="CR00240"/>
    <s v="CL0243"/>
    <x v="3"/>
    <x v="4"/>
    <x v="205"/>
    <n v="25836"/>
    <n v="0.44391316123224467"/>
    <n v="3.108647364722561E-2"/>
    <n v="24"/>
    <n v="1543.4589883460503"/>
    <n v="4"/>
    <n v="5"/>
    <n v="20"/>
    <s v="SI"/>
    <n v="4"/>
    <n v="25836.000000000018"/>
    <n v="1867.8359533842013"/>
    <s v="En mora"/>
    <n v="58"/>
  </r>
  <r>
    <s v="CR00241"/>
    <s v="CL0087"/>
    <x v="2"/>
    <x v="3"/>
    <x v="206"/>
    <n v="76452"/>
    <n v="0.31775143099009739"/>
    <n v="2.3260299574924703E-2"/>
    <n v="55"/>
    <n v="2477.8885422471863"/>
    <n v="25"/>
    <n v="25"/>
    <n v="30"/>
    <s v="NO"/>
    <s v=""/>
    <n v="76451.999999999942"/>
    <n v="27196.304465270565"/>
    <s v="Vigente"/>
    <s v=""/>
  </r>
  <r>
    <s v="CR00242"/>
    <s v="CL0052"/>
    <x v="2"/>
    <x v="5"/>
    <x v="207"/>
    <n v="85002"/>
    <n v="0.32520168111476988"/>
    <n v="2.3741160451339116E-2"/>
    <n v="28"/>
    <n v="4190.4030285759054"/>
    <n v="14"/>
    <n v="14"/>
    <n v="14"/>
    <s v="NO"/>
    <s v=""/>
    <n v="85002.000000000073"/>
    <n v="16164.642400062672"/>
    <s v="Vigente"/>
    <s v=""/>
  </r>
  <r>
    <s v="CR00243"/>
    <s v="CL0150"/>
    <x v="0"/>
    <x v="3"/>
    <x v="124"/>
    <n v="16552"/>
    <n v="0.34930652986947097"/>
    <n v="2.5280156071517901E-2"/>
    <n v="8"/>
    <n v="2311.2218883865849"/>
    <n v="8"/>
    <n v="8"/>
    <n v="0"/>
    <s v="NO"/>
    <s v=""/>
    <n v="0"/>
    <n v="0"/>
    <s v="Cancelado"/>
    <s v=""/>
  </r>
  <r>
    <s v="CR00244"/>
    <s v="CL0245"/>
    <x v="2"/>
    <x v="0"/>
    <x v="208"/>
    <n v="35647"/>
    <n v="0.32549059245817624"/>
    <n v="2.3759757676206972E-2"/>
    <n v="49"/>
    <n v="1239.0538754466161"/>
    <n v="19"/>
    <n v="19"/>
    <n v="30"/>
    <s v="NO"/>
    <s v=""/>
    <n v="35647.000000000051"/>
    <n v="9719.7175110367261"/>
    <s v="Vigente"/>
    <s v=""/>
  </r>
  <r>
    <s v="CR00245"/>
    <s v="CL0172"/>
    <x v="1"/>
    <x v="6"/>
    <x v="209"/>
    <n v="1218"/>
    <n v="0.35549899643206018"/>
    <n v="2.5671449492036702E-2"/>
    <n v="23"/>
    <n v="70.777836161938041"/>
    <n v="23"/>
    <n v="23"/>
    <n v="0"/>
    <s v="NO"/>
    <s v=""/>
    <n v="0"/>
    <n v="0"/>
    <s v="Cancelado"/>
    <s v=""/>
  </r>
  <r>
    <s v="CR00246"/>
    <s v="CL0029"/>
    <x v="0"/>
    <x v="1"/>
    <x v="210"/>
    <n v="14751"/>
    <n v="0.25175120015322178"/>
    <n v="1.8888126745162381E-2"/>
    <n v="20"/>
    <n v="892.47208181852773"/>
    <n v="5"/>
    <n v="5"/>
    <n v="15"/>
    <s v="NO"/>
    <s v=""/>
    <n v="14750.999999999998"/>
    <n v="774.61040909263829"/>
    <s v="Vigente"/>
    <s v=""/>
  </r>
  <r>
    <s v="CR00247"/>
    <s v="CL0138"/>
    <x v="4"/>
    <x v="0"/>
    <x v="211"/>
    <n v="57803"/>
    <n v="9.2135978887458503E-2"/>
    <n v="7.3716538760719708E-3"/>
    <n v="211"/>
    <n v="540.95265892018392"/>
    <n v="17"/>
    <n v="17"/>
    <n v="194"/>
    <s v="NO"/>
    <s v=""/>
    <n v="57803.000000000138"/>
    <n v="4539.0814575672975"/>
    <s v="Vigente"/>
    <s v=""/>
  </r>
  <r>
    <s v="CR00248"/>
    <s v="CL0188"/>
    <x v="4"/>
    <x v="6"/>
    <x v="212"/>
    <n v="231421"/>
    <n v="0.11495477505582583"/>
    <n v="9.1090575323098388E-3"/>
    <n v="141"/>
    <n v="2921.4744238007588"/>
    <n v="21"/>
    <n v="21"/>
    <n v="120"/>
    <s v="NO"/>
    <s v=""/>
    <n v="231421.00000000012"/>
    <n v="26884.005453007427"/>
    <s v="Vigente"/>
    <s v=""/>
  </r>
  <r>
    <s v="CR00249"/>
    <s v="CL0074"/>
    <x v="4"/>
    <x v="3"/>
    <x v="213"/>
    <n v="288445"/>
    <n v="0.13903605829871338"/>
    <n v="1.0907587143494046E-2"/>
    <n v="111"/>
    <n v="4494.2152398916851"/>
    <n v="12"/>
    <n v="12"/>
    <n v="99"/>
    <s v="NO"/>
    <s v=""/>
    <n v="288445.00000000052"/>
    <n v="22747.339635456978"/>
    <s v="Vigente"/>
    <s v=""/>
  </r>
  <r>
    <s v="CR00250"/>
    <s v="CL0177"/>
    <x v="0"/>
    <x v="0"/>
    <x v="135"/>
    <n v="4833"/>
    <n v="0.3096813077386219"/>
    <n v="2.273661034288943E-2"/>
    <n v="13"/>
    <n v="433.59532488878108"/>
    <n v="2"/>
    <n v="2"/>
    <n v="11"/>
    <s v="NO"/>
    <s v=""/>
    <n v="4832.9999999999991"/>
    <n v="123.6521882391006"/>
    <s v="Vigente"/>
    <s v=""/>
  </r>
  <r>
    <s v="CR00251"/>
    <s v="CL0093"/>
    <x v="4"/>
    <x v="1"/>
    <x v="214"/>
    <n v="238413"/>
    <n v="9.0430179853146581E-2"/>
    <n v="7.2404427308032648E-3"/>
    <n v="189"/>
    <n v="2319.4360508837194"/>
    <n v="19"/>
    <n v="19"/>
    <n v="170"/>
    <s v="NO"/>
    <s v=""/>
    <n v="238413.00000000058"/>
    <n v="20101.840522346225"/>
    <s v="Vigente"/>
    <s v=""/>
  </r>
  <r>
    <s v="CR00252"/>
    <s v="CL0128"/>
    <x v="1"/>
    <x v="6"/>
    <x v="215"/>
    <n v="7567"/>
    <n v="0.48140406898078647"/>
    <n v="3.3291351526013147E-2"/>
    <n v="22"/>
    <n v="490.60228498583905"/>
    <n v="7"/>
    <n v="7"/>
    <n v="15"/>
    <s v="NO"/>
    <s v=""/>
    <n v="7566.9999999999936"/>
    <n v="1026.534176719055"/>
    <s v="Vigente"/>
    <s v=""/>
  </r>
  <r>
    <s v="CR00253"/>
    <s v="CL0017"/>
    <x v="2"/>
    <x v="6"/>
    <x v="128"/>
    <n v="8672"/>
    <n v="0.20685584223716832"/>
    <n v="1.5791598318761979E-2"/>
    <n v="25"/>
    <n v="422.54288733211524"/>
    <n v="4"/>
    <n v="4"/>
    <n v="21"/>
    <s v="NO"/>
    <s v=""/>
    <n v="8672.0000000000146"/>
    <n v="302.65154932846082"/>
    <s v="Vigente"/>
    <s v=""/>
  </r>
  <r>
    <s v="CR00254"/>
    <s v="CL0154"/>
    <x v="3"/>
    <x v="2"/>
    <x v="216"/>
    <n v="10571"/>
    <n v="0.40616392489778785"/>
    <n v="2.8812729945935756E-2"/>
    <n v="25"/>
    <n v="599.06713897677571"/>
    <n v="15"/>
    <n v="15"/>
    <n v="10"/>
    <s v="NO"/>
    <s v=""/>
    <n v="10570.999999999996"/>
    <n v="2643.4070846516352"/>
    <s v="Vigente"/>
    <s v=""/>
  </r>
  <r>
    <s v="CR00255"/>
    <s v="CL0167"/>
    <x v="0"/>
    <x v="4"/>
    <x v="217"/>
    <n v="2549"/>
    <n v="0.23783535568378142"/>
    <n v="1.7939359181458281E-2"/>
    <n v="13"/>
    <n v="221.57419204904059"/>
    <n v="5"/>
    <n v="13"/>
    <n v="8"/>
    <s v="SI"/>
    <n v="5"/>
    <n v="2549.0000000000009"/>
    <n v="127.48634486058756"/>
    <s v="En mora"/>
    <n v="298"/>
  </r>
  <r>
    <s v="CR00256"/>
    <s v="CL0128"/>
    <x v="0"/>
    <x v="6"/>
    <x v="218"/>
    <n v="7473"/>
    <n v="0.22201533204387172"/>
    <n v="1.6848817454647502E-2"/>
    <n v="13"/>
    <n v="644.90831977082837"/>
    <n v="6"/>
    <n v="13"/>
    <n v="7"/>
    <s v="SI"/>
    <n v="6"/>
    <n v="7473.0000000000227"/>
    <n v="420.37299554804713"/>
    <s v="En mora"/>
    <n v="508"/>
  </r>
  <r>
    <s v="CR00257"/>
    <s v="CL0105"/>
    <x v="2"/>
    <x v="1"/>
    <x v="219"/>
    <n v="31198"/>
    <n v="0.21429347831202294"/>
    <n v="1.6311808999108557E-2"/>
    <n v="58"/>
    <n v="835.94533059556102"/>
    <n v="4"/>
    <n v="4"/>
    <n v="54"/>
    <s v="NO"/>
    <s v=""/>
    <n v="31197.999999999985"/>
    <n v="1192.1951154856922"/>
    <s v="Vigente"/>
    <s v=""/>
  </r>
  <r>
    <s v="CR00258"/>
    <s v="CL0093"/>
    <x v="0"/>
    <x v="1"/>
    <x v="220"/>
    <n v="15163"/>
    <n v="0.35540644477821703"/>
    <n v="2.5665613353461625E-2"/>
    <n v="6"/>
    <n v="2758.9733841859043"/>
    <n v="6"/>
    <n v="6"/>
    <n v="0"/>
    <s v="NO"/>
    <s v=""/>
    <n v="0"/>
    <n v="0"/>
    <s v="Cancelado"/>
    <s v=""/>
  </r>
  <r>
    <s v="CR00259"/>
    <s v="CL0056"/>
    <x v="0"/>
    <x v="4"/>
    <x v="221"/>
    <n v="18710"/>
    <n v="0.23272223976150902"/>
    <n v="1.7588294586672326E-2"/>
    <n v="16"/>
    <n v="1351.8074878299449"/>
    <n v="13"/>
    <n v="13"/>
    <n v="3"/>
    <s v="NO"/>
    <s v=""/>
    <n v="18710.000000000007"/>
    <n v="2371.6223417892834"/>
    <s v="Vigente"/>
    <s v=""/>
  </r>
  <r>
    <s v="CR00260"/>
    <s v="CL0223"/>
    <x v="0"/>
    <x v="3"/>
    <x v="113"/>
    <n v="5167"/>
    <n v="0.37681845582829054"/>
    <n v="2.7006179078827852E-2"/>
    <n v="18"/>
    <n v="366.24138818077745"/>
    <n v="7"/>
    <n v="7"/>
    <n v="11"/>
    <s v="NO"/>
    <s v=""/>
    <n v="5166.9999999999991"/>
    <n v="554.30082837655323"/>
    <s v="Vigente"/>
    <s v=""/>
  </r>
  <r>
    <s v="CR00261"/>
    <s v="CL0165"/>
    <x v="0"/>
    <x v="2"/>
    <x v="214"/>
    <n v="13696"/>
    <n v="0.36056803183562269"/>
    <n v="2.5990537077406506E-2"/>
    <n v="22"/>
    <n v="825.24082476665274"/>
    <n v="19"/>
    <n v="19"/>
    <n v="3"/>
    <s v="NO"/>
    <s v=""/>
    <n v="13695.999999999987"/>
    <n v="3851.2120342027652"/>
    <s v="Vigente"/>
    <s v=""/>
  </r>
  <r>
    <s v="CR00262"/>
    <s v="CL0052"/>
    <x v="0"/>
    <x v="5"/>
    <x v="222"/>
    <n v="1859"/>
    <n v="0.24241384306457467"/>
    <n v="1.8252590128353008E-2"/>
    <n v="15"/>
    <n v="142.79301182936698"/>
    <n v="10"/>
    <n v="10"/>
    <n v="5"/>
    <s v="NO"/>
    <s v=""/>
    <n v="1858.999999999995"/>
    <n v="188.59678496033635"/>
    <s v="Vigente"/>
    <s v=""/>
  </r>
  <r>
    <s v="CR00263"/>
    <s v="CL0145"/>
    <x v="2"/>
    <x v="3"/>
    <x v="223"/>
    <n v="56203"/>
    <n v="0.22067122120814148"/>
    <n v="1.6755566645799913E-2"/>
    <n v="17"/>
    <n v="3826.6749776260385"/>
    <n v="17"/>
    <n v="17"/>
    <n v="0"/>
    <s v="NO"/>
    <s v=""/>
    <n v="0"/>
    <n v="0"/>
    <s v="Cancelado"/>
    <s v=""/>
  </r>
  <r>
    <s v="CR00264"/>
    <s v="CL0155"/>
    <x v="0"/>
    <x v="2"/>
    <x v="135"/>
    <n v="9632"/>
    <n v="0.32350365807098536"/>
    <n v="2.3631783527337413E-2"/>
    <n v="8"/>
    <n v="1335.5239112709874"/>
    <n v="2"/>
    <n v="2"/>
    <n v="6"/>
    <s v="NO"/>
    <s v=""/>
    <n v="9632.0000000000091"/>
    <n v="263.04782254197471"/>
    <s v="Vigente"/>
    <s v=""/>
  </r>
  <r>
    <s v="CR00265"/>
    <s v="CL0245"/>
    <x v="3"/>
    <x v="0"/>
    <x v="224"/>
    <n v="9677"/>
    <n v="0.35617921758772331"/>
    <n v="2.5714331793628586E-2"/>
    <n v="40"/>
    <n v="390.14712006785953"/>
    <n v="12"/>
    <n v="12"/>
    <n v="28"/>
    <s v="NO"/>
    <s v=""/>
    <n v="9677.0000000000036"/>
    <n v="1778.6654408143143"/>
    <s v="Vigente"/>
    <s v=""/>
  </r>
  <r>
    <s v="CR00266"/>
    <s v="CL0183"/>
    <x v="1"/>
    <x v="7"/>
    <x v="225"/>
    <n v="7036"/>
    <n v="0.47505852366627527"/>
    <n v="3.2921786302984923E-2"/>
    <n v="30"/>
    <n v="372.66095168111207"/>
    <n v="15"/>
    <n v="15"/>
    <n v="15"/>
    <s v="NO"/>
    <s v=""/>
    <n v="7035.9999999999936"/>
    <n v="2071.9142752166808"/>
    <s v="Vigente"/>
    <s v=""/>
  </r>
  <r>
    <s v="CR00267"/>
    <s v="CL0129"/>
    <x v="4"/>
    <x v="7"/>
    <x v="226"/>
    <n v="148527"/>
    <n v="0.12807091800743625"/>
    <n v="1.0093012778422228E-2"/>
    <n v="235"/>
    <n v="1655.3923748991087"/>
    <n v="11"/>
    <n v="11"/>
    <n v="224"/>
    <s v="NO"/>
    <s v=""/>
    <n v="148527.00000000006"/>
    <n v="11256.988464315727"/>
    <s v="Vigente"/>
    <s v=""/>
  </r>
  <r>
    <s v="CR00268"/>
    <s v="CL0088"/>
    <x v="0"/>
    <x v="6"/>
    <x v="80"/>
    <n v="18367"/>
    <n v="0.24114288415883595"/>
    <n v="1.8165745449261195E-2"/>
    <n v="6"/>
    <n v="3258.715274578612"/>
    <n v="4"/>
    <n v="6"/>
    <n v="2"/>
    <s v="SI"/>
    <n v="4"/>
    <n v="18366.999999999956"/>
    <n v="790.19443164778204"/>
    <s v="En mora"/>
    <n v="432"/>
  </r>
  <r>
    <s v="CR00269"/>
    <s v="CL0163"/>
    <x v="4"/>
    <x v="1"/>
    <x v="227"/>
    <n v="34070"/>
    <n v="0.11054566526912322"/>
    <n v="8.7759081969462915E-3"/>
    <n v="202"/>
    <n v="360.75099635025254"/>
    <n v="14"/>
    <n v="14"/>
    <n v="188"/>
    <s v="NO"/>
    <s v=""/>
    <n v="34070.000000000044"/>
    <n v="2689.2268201906645"/>
    <s v="Vigente"/>
    <s v=""/>
  </r>
  <r>
    <s v="CR00270"/>
    <s v="CL0026"/>
    <x v="4"/>
    <x v="2"/>
    <x v="228"/>
    <n v="166890"/>
    <n v="0.12736222380977122"/>
    <n v="1.0040116188137826E-2"/>
    <n v="68"/>
    <n v="3398.4964932563103"/>
    <n v="11"/>
    <n v="29"/>
    <n v="57"/>
    <s v="SI"/>
    <n v="11"/>
    <n v="166889.99999999919"/>
    <n v="10386.54966111353"/>
    <s v="En mora"/>
    <n v="551"/>
  </r>
  <r>
    <s v="CR00271"/>
    <s v="CL0109"/>
    <x v="1"/>
    <x v="1"/>
    <x v="66"/>
    <n v="3878"/>
    <n v="0.35143240972893464"/>
    <n v="2.5414672705238006E-2"/>
    <n v="13"/>
    <n v="354.03648940038556"/>
    <n v="9"/>
    <n v="9"/>
    <n v="4"/>
    <s v="NO"/>
    <s v=""/>
    <n v="3878.0000000000064"/>
    <n v="501.55917383423895"/>
    <s v="Vigente"/>
    <s v=""/>
  </r>
  <r>
    <s v="CR00272"/>
    <s v="CL0165"/>
    <x v="4"/>
    <x v="2"/>
    <x v="229"/>
    <n v="83958"/>
    <n v="0.13296717662828317"/>
    <n v="1.0457637104397621E-2"/>
    <n v="136"/>
    <n v="1159.7850893084876"/>
    <n v="6"/>
    <n v="10"/>
    <n v="130"/>
    <s v="SI"/>
    <n v="6"/>
    <n v="83958.000000000073"/>
    <n v="3254.6811240862198"/>
    <s v="En mora"/>
    <n v="137"/>
  </r>
  <r>
    <s v="CR00273"/>
    <s v="CL0235"/>
    <x v="4"/>
    <x v="6"/>
    <x v="230"/>
    <n v="293557"/>
    <n v="0.13807482052687581"/>
    <n v="1.0836467167054664E-2"/>
    <n v="121"/>
    <n v="4366.0771513205327"/>
    <n v="30"/>
    <n v="30"/>
    <n v="91"/>
    <s v="NO"/>
    <s v=""/>
    <n v="293557.00000000012"/>
    <n v="58199.587266888724"/>
    <s v="Vigente"/>
    <s v=""/>
  </r>
  <r>
    <s v="CR00274"/>
    <s v="CL0246"/>
    <x v="3"/>
    <x v="1"/>
    <x v="231"/>
    <n v="12722"/>
    <n v="0.38669368789905445"/>
    <n v="2.7618020565881807E-2"/>
    <n v="41"/>
    <n v="522.28078198510127"/>
    <n v="12"/>
    <n v="12"/>
    <n v="29"/>
    <s v="NO"/>
    <s v=""/>
    <n v="12721.999999999982"/>
    <n v="2543.857188699264"/>
    <s v="Vigente"/>
    <s v=""/>
  </r>
  <r>
    <s v="CR00275"/>
    <s v="CL0200"/>
    <x v="0"/>
    <x v="2"/>
    <x v="232"/>
    <n v="3937"/>
    <n v="0.29924340165894409"/>
    <n v="2.205486540824575E-2"/>
    <n v="12"/>
    <n v="376.99515037827643"/>
    <n v="12"/>
    <n v="12"/>
    <n v="0"/>
    <s v="NO"/>
    <s v=""/>
    <n v="0"/>
    <n v="0"/>
    <s v="Cancelado"/>
    <s v=""/>
  </r>
  <r>
    <s v="CR00276"/>
    <s v="CL0027"/>
    <x v="3"/>
    <x v="4"/>
    <x v="233"/>
    <n v="3730"/>
    <n v="0.41540120875293951"/>
    <n v="2.937424231705088E-2"/>
    <n v="7"/>
    <n v="597.27757879558567"/>
    <n v="7"/>
    <n v="7"/>
    <n v="0"/>
    <s v="NO"/>
    <s v=""/>
    <n v="0"/>
    <n v="0"/>
    <s v="Cancelado"/>
    <s v=""/>
  </r>
  <r>
    <s v="CR00277"/>
    <s v="CL0083"/>
    <x v="1"/>
    <x v="5"/>
    <x v="234"/>
    <n v="4040"/>
    <n v="0.36539313380507971"/>
    <n v="2.6293258706378442E-2"/>
    <n v="31"/>
    <n v="192.18719599167156"/>
    <n v="14"/>
    <n v="14"/>
    <n v="17"/>
    <s v="NO"/>
    <s v=""/>
    <n v="4040.0000000000014"/>
    <n v="866.10461485114365"/>
    <s v="Vigente"/>
    <s v=""/>
  </r>
  <r>
    <s v="CR00278"/>
    <s v="CL0032"/>
    <x v="4"/>
    <x v="0"/>
    <x v="235"/>
    <n v="168592"/>
    <n v="0.11380593907678868"/>
    <n v="9.0223687661357133E-3"/>
    <n v="222"/>
    <n v="1760.8410503179182"/>
    <n v="45"/>
    <n v="45"/>
    <n v="177"/>
    <s v="NO"/>
    <s v=""/>
    <n v="168592.00000000003"/>
    <n v="45063.793210252268"/>
    <s v="Vigente"/>
    <s v=""/>
  </r>
  <r>
    <s v="CR00279"/>
    <s v="CL0044"/>
    <x v="1"/>
    <x v="3"/>
    <x v="236"/>
    <n v="12786"/>
    <n v="0.48669024823893242"/>
    <n v="3.3598112883075792E-2"/>
    <n v="27"/>
    <n v="727.78504534327442"/>
    <n v="23"/>
    <n v="23"/>
    <n v="4"/>
    <s v="NO"/>
    <s v=""/>
    <n v="12786.000000000009"/>
    <n v="5847.2782651175339"/>
    <s v="Vigente"/>
    <s v=""/>
  </r>
  <r>
    <s v="CR00280"/>
    <s v="CL0186"/>
    <x v="3"/>
    <x v="4"/>
    <x v="168"/>
    <n v="40247"/>
    <n v="0.32218727841644751"/>
    <n v="2.3546901334132064E-2"/>
    <n v="29"/>
    <n v="1930.8527318417996"/>
    <n v="3"/>
    <n v="3"/>
    <n v="26"/>
    <s v="NO"/>
    <s v=""/>
    <n v="40246.999999999993"/>
    <n v="1629.0754369047088"/>
    <s v="Vigente"/>
    <s v=""/>
  </r>
  <r>
    <s v="CR00281"/>
    <s v="CL0247"/>
    <x v="4"/>
    <x v="7"/>
    <x v="237"/>
    <n v="205080"/>
    <n v="9.012006117942177E-2"/>
    <n v="7.2165679946292194E-3"/>
    <n v="62"/>
    <n v="4114.4520586642448"/>
    <n v="29"/>
    <n v="29"/>
    <n v="33"/>
    <s v="NO"/>
    <s v=""/>
    <n v="205080.00000000041"/>
    <n v="23394.593572230839"/>
    <s v="Vigente"/>
    <s v=""/>
  </r>
  <r>
    <s v="CR00282"/>
    <s v="CL0167"/>
    <x v="2"/>
    <x v="4"/>
    <x v="142"/>
    <n v="60333"/>
    <n v="0.2922839448661293"/>
    <n v="2.1597517851128512E-2"/>
    <n v="47"/>
    <n v="2056.2763494063875"/>
    <n v="16"/>
    <n v="16"/>
    <n v="31"/>
    <s v="NO"/>
    <s v=""/>
    <n v="60332.999999999898"/>
    <n v="12361.527973480923"/>
    <s v="Vigente"/>
    <s v=""/>
  </r>
  <r>
    <s v="CR00283"/>
    <s v="CL0201"/>
    <x v="1"/>
    <x v="2"/>
    <x v="238"/>
    <n v="9131"/>
    <n v="0.5214207033621916"/>
    <n v="3.5589035198151375E-2"/>
    <n v="31"/>
    <n v="491.03877970454641"/>
    <n v="31"/>
    <n v="31"/>
    <n v="0"/>
    <s v="NO"/>
    <s v=""/>
    <n v="0"/>
    <n v="0"/>
    <s v="Cancelado"/>
    <s v=""/>
  </r>
  <r>
    <s v="CR00284"/>
    <s v="CL0207"/>
    <x v="1"/>
    <x v="2"/>
    <x v="239"/>
    <n v="9548"/>
    <n v="0.39803736907622156"/>
    <n v="2.8315933186499276E-2"/>
    <n v="7"/>
    <n v="1522.8027185733613"/>
    <n v="2"/>
    <n v="2"/>
    <n v="5"/>
    <s v="NO"/>
    <s v=""/>
    <n v="9548.0000000000018"/>
    <n v="317.60543714672269"/>
    <s v="Vigente"/>
    <s v=""/>
  </r>
  <r>
    <s v="CR00285"/>
    <s v="CL0087"/>
    <x v="3"/>
    <x v="3"/>
    <x v="240"/>
    <n v="22613"/>
    <n v="0.37188630012450669"/>
    <n v="2.6699088835545393E-2"/>
    <n v="34"/>
    <n v="1020.2823164655556"/>
    <n v="26"/>
    <n v="26"/>
    <n v="8"/>
    <s v="NO"/>
    <s v=""/>
    <n v="22613.000000000025"/>
    <n v="9235.0461104573878"/>
    <s v="Vigente"/>
    <s v=""/>
  </r>
  <r>
    <s v="CR00286"/>
    <s v="CL0156"/>
    <x v="4"/>
    <x v="2"/>
    <x v="241"/>
    <n v="198402"/>
    <n v="0.12939125867859005"/>
    <n v="1.0191481171907935E-2"/>
    <n v="185"/>
    <n v="2387.881145769195"/>
    <n v="25"/>
    <n v="25"/>
    <n v="160"/>
    <s v="NO"/>
    <s v=""/>
    <n v="198402.0000000002"/>
    <n v="32885.947563148795"/>
    <s v="Vigente"/>
    <s v=""/>
  </r>
  <r>
    <s v="CR00287"/>
    <s v="CL0191"/>
    <x v="3"/>
    <x v="6"/>
    <x v="242"/>
    <n v="32500"/>
    <n v="0.39178784620532536"/>
    <n v="2.7932080276290128E-2"/>
    <n v="21"/>
    <n v="2066.5535272855573"/>
    <n v="2"/>
    <n v="2"/>
    <n v="19"/>
    <s v="NO"/>
    <s v=""/>
    <n v="32500.000000000018"/>
    <n v="1037.8689593330193"/>
    <s v="Vigente"/>
    <s v=""/>
  </r>
  <r>
    <s v="CR00288"/>
    <s v="CL0043"/>
    <x v="3"/>
    <x v="2"/>
    <x v="243"/>
    <n v="25285"/>
    <n v="0.39243441277705315"/>
    <n v="2.7971866335814388E-2"/>
    <n v="13"/>
    <n v="2346.8046932314419"/>
    <n v="13"/>
    <n v="13"/>
    <n v="0"/>
    <s v="NO"/>
    <s v=""/>
    <n v="0"/>
    <n v="0"/>
    <s v="Cancelado"/>
    <s v=""/>
  </r>
  <r>
    <s v="CR00289"/>
    <s v="CL0076"/>
    <x v="4"/>
    <x v="6"/>
    <x v="60"/>
    <n v="203394"/>
    <n v="0.13075749501503486"/>
    <n v="1.0293261346105309E-2"/>
    <n v="114"/>
    <n v="3039.3141392865609"/>
    <n v="2"/>
    <n v="2"/>
    <n v="112"/>
    <s v="NO"/>
    <s v=""/>
    <n v="203394.00000000009"/>
    <n v="2510.3124890994382"/>
    <s v="Vigente"/>
    <s v=""/>
  </r>
  <r>
    <s v="CR00290"/>
    <s v="CL0250"/>
    <x v="1"/>
    <x v="1"/>
    <x v="244"/>
    <n v="13595"/>
    <n v="0.49505016413024738"/>
    <n v="3.4081210778482474E-2"/>
    <n v="10"/>
    <n v="1627.1200622498493"/>
    <n v="10"/>
    <n v="10"/>
    <n v="0"/>
    <s v="NO"/>
    <s v=""/>
    <n v="0"/>
    <n v="0"/>
    <s v="Cancelado"/>
    <s v=""/>
  </r>
  <r>
    <s v="CR00291"/>
    <s v="CL0070"/>
    <x v="1"/>
    <x v="0"/>
    <x v="245"/>
    <n v="7722"/>
    <n v="0.50675850109097176"/>
    <n v="3.4753659193722974E-2"/>
    <n v="10"/>
    <n v="927.35133672328243"/>
    <n v="10"/>
    <n v="10"/>
    <n v="0"/>
    <s v="NO"/>
    <s v=""/>
    <n v="0"/>
    <n v="0"/>
    <s v="Cancelado"/>
    <s v=""/>
  </r>
  <r>
    <s v="CR00292"/>
    <s v="CL0140"/>
    <x v="2"/>
    <x v="7"/>
    <x v="246"/>
    <n v="25924"/>
    <n v="0.22330168597453673"/>
    <n v="1.6937973238700277E-2"/>
    <n v="39"/>
    <n v="913.68133424925554"/>
    <n v="6"/>
    <n v="6"/>
    <n v="33"/>
    <s v="NO"/>
    <s v=""/>
    <n v="25923.999999999935"/>
    <n v="1493.7803131878409"/>
    <s v="Vigente"/>
    <s v=""/>
  </r>
  <r>
    <s v="CR00293"/>
    <s v="CL0240"/>
    <x v="2"/>
    <x v="4"/>
    <x v="247"/>
    <n v="61525"/>
    <n v="0.30875036305625081"/>
    <n v="2.2676008988073981E-2"/>
    <n v="43"/>
    <n v="2254.9443604243884"/>
    <n v="20"/>
    <n v="20"/>
    <n v="23"/>
    <s v="NO"/>
    <s v=""/>
    <n v="61525.000000000007"/>
    <n v="16482.608138720327"/>
    <s v="Vigente"/>
    <s v=""/>
  </r>
  <r>
    <s v="CR00294"/>
    <s v="CL0219"/>
    <x v="1"/>
    <x v="7"/>
    <x v="248"/>
    <n v="4279"/>
    <n v="0.41133865875085651"/>
    <n v="2.9127704691880529E-2"/>
    <n v="8"/>
    <n v="607.32988363958236"/>
    <n v="3"/>
    <n v="3"/>
    <n v="5"/>
    <s v="NO"/>
    <s v=""/>
    <n v="4279"/>
    <n v="217.36465091874709"/>
    <s v="Vigente"/>
    <s v=""/>
  </r>
  <r>
    <s v="CR00295"/>
    <s v="CL0043"/>
    <x v="4"/>
    <x v="2"/>
    <x v="249"/>
    <n v="208634"/>
    <n v="0.13157488363084635"/>
    <n v="1.0354100263090027E-2"/>
    <n v="192"/>
    <n v="2507.1521889356031"/>
    <n v="39"/>
    <n v="39"/>
    <n v="153"/>
    <s v="NO"/>
    <s v=""/>
    <n v="208634"/>
    <n v="55400.154118488528"/>
    <s v="Vigente"/>
    <s v=""/>
  </r>
  <r>
    <s v="CR00296"/>
    <s v="CL0246"/>
    <x v="0"/>
    <x v="1"/>
    <x v="250"/>
    <n v="19187"/>
    <n v="0.28765925857906721"/>
    <n v="2.1292351739903514E-2"/>
    <n v="22"/>
    <n v="1101.3808432506542"/>
    <n v="7"/>
    <n v="7"/>
    <n v="15"/>
    <s v="NO"/>
    <s v=""/>
    <n v="19186.999999999964"/>
    <n v="1604.7113573000331"/>
    <s v="Vigente"/>
    <s v=""/>
  </r>
  <r>
    <s v="CR00297"/>
    <s v="CL0098"/>
    <x v="0"/>
    <x v="4"/>
    <x v="186"/>
    <n v="11122"/>
    <n v="0.25028028392143081"/>
    <n v="1.8788299475054115E-2"/>
    <n v="10"/>
    <n v="1230.3369910471492"/>
    <n v="2"/>
    <n v="2"/>
    <n v="8"/>
    <s v="NO"/>
    <s v=""/>
    <n v="11122.000000000013"/>
    <n v="236.2739820942985"/>
    <s v="Vigente"/>
    <s v=""/>
  </r>
  <r>
    <s v="CR00298"/>
    <s v="CL0081"/>
    <x v="0"/>
    <x v="1"/>
    <x v="29"/>
    <n v="5478"/>
    <n v="0.3619167385598665"/>
    <n v="2.6075252432041118E-2"/>
    <n v="19"/>
    <n v="369.27735528646394"/>
    <n v="8"/>
    <n v="8"/>
    <n v="11"/>
    <s v="NO"/>
    <s v=""/>
    <n v="5478.0000000000036"/>
    <n v="647.69252650223791"/>
    <s v="Vigente"/>
    <s v=""/>
  </r>
  <r>
    <s v="CR00299"/>
    <s v="CL0154"/>
    <x v="4"/>
    <x v="2"/>
    <x v="251"/>
    <n v="220079"/>
    <n v="0.12788286586422301"/>
    <n v="1.0078979627698104E-2"/>
    <n v="96"/>
    <n v="3588.3792776683945"/>
    <n v="47"/>
    <n v="47"/>
    <n v="49"/>
    <s v="NO"/>
    <s v=""/>
    <n v="220078.9999999998"/>
    <n v="60906.815633747865"/>
    <s v="Vigente"/>
    <s v=""/>
  </r>
  <r>
    <s v="CR00300"/>
    <s v="CL0013"/>
    <x v="0"/>
    <x v="7"/>
    <x v="252"/>
    <n v="1033"/>
    <n v="0.25224570293075571"/>
    <n v="1.8921663215494711E-2"/>
    <n v="13"/>
    <n v="90.380530032167016"/>
    <n v="11"/>
    <n v="13"/>
    <n v="2"/>
    <s v="SI"/>
    <n v="11"/>
    <n v="1032.9999999999986"/>
    <n v="120.10890727691415"/>
    <s v="En mora"/>
    <n v="915"/>
  </r>
  <r>
    <s v="CR00301"/>
    <s v="CL0171"/>
    <x v="1"/>
    <x v="7"/>
    <x v="253"/>
    <n v="5147"/>
    <n v="0.50570130853163686"/>
    <n v="3.469313822460296E-2"/>
    <n v="35"/>
    <n v="256.23076276615529"/>
    <n v="8"/>
    <n v="8"/>
    <n v="27"/>
    <s v="NO"/>
    <s v=""/>
    <n v="5147.0000000000018"/>
    <n v="873.38895927209933"/>
    <s v="Vigente"/>
    <s v=""/>
  </r>
  <r>
    <s v="CR00302"/>
    <s v="CL0245"/>
    <x v="0"/>
    <x v="0"/>
    <x v="254"/>
    <n v="6748"/>
    <n v="0.22566618584497625"/>
    <n v="1.7101630206133311E-2"/>
    <n v="15"/>
    <n v="513.84688037194553"/>
    <n v="8"/>
    <n v="8"/>
    <n v="7"/>
    <s v="NO"/>
    <s v=""/>
    <n v="6747.9999999999936"/>
    <n v="511.84170964223108"/>
    <s v="Vigente"/>
    <s v=""/>
  </r>
  <r>
    <s v="CR00303"/>
    <s v="CL0236"/>
    <x v="4"/>
    <x v="5"/>
    <x v="255"/>
    <n v="126922"/>
    <n v="0.10270740096823296"/>
    <n v="8.1806492521299123E-3"/>
    <n v="78"/>
    <n v="2207.6239031741479"/>
    <n v="23"/>
    <n v="23"/>
    <n v="55"/>
    <s v="NO"/>
    <s v=""/>
    <n v="126921.9999999998"/>
    <n v="13349.631824287457"/>
    <s v="Vigente"/>
    <s v=""/>
  </r>
  <r>
    <s v="CR00304"/>
    <s v="CL0102"/>
    <x v="3"/>
    <x v="6"/>
    <x v="203"/>
    <n v="48513"/>
    <n v="0.35962138819833528"/>
    <n v="2.5931030235729846E-2"/>
    <n v="25"/>
    <n v="2661.2091793852605"/>
    <n v="12"/>
    <n v="12"/>
    <n v="13"/>
    <s v="NO"/>
    <s v=""/>
    <n v="48512.999999999949"/>
    <n v="8648.2701526231285"/>
    <s v="Vigente"/>
    <s v=""/>
  </r>
  <r>
    <s v="CR00305"/>
    <s v="CL0090"/>
    <x v="3"/>
    <x v="2"/>
    <x v="16"/>
    <n v="35633"/>
    <n v="0.27149347377453908"/>
    <n v="2.021767810128039E-2"/>
    <n v="36"/>
    <n v="1402.8760330395121"/>
    <n v="10"/>
    <n v="10"/>
    <n v="26"/>
    <s v="NO"/>
    <s v=""/>
    <n v="35633.000000000073"/>
    <n v="4130.7047748395662"/>
    <s v="Vigente"/>
    <s v=""/>
  </r>
  <r>
    <s v="CR00306"/>
    <s v="CL0042"/>
    <x v="2"/>
    <x v="2"/>
    <x v="206"/>
    <n v="50140"/>
    <n v="0.3014004602914277"/>
    <n v="2.2196162799892116E-2"/>
    <n v="47"/>
    <n v="1729.0996385591259"/>
    <n v="25"/>
    <n v="25"/>
    <n v="22"/>
    <s v="NO"/>
    <s v=""/>
    <n v="50140.000000000036"/>
    <n v="16557.278198020696"/>
    <s v="Vigente"/>
    <s v=""/>
  </r>
  <r>
    <s v="CR00307"/>
    <s v="CL0144"/>
    <x v="3"/>
    <x v="1"/>
    <x v="256"/>
    <n v="22342"/>
    <n v="0.4187345976360477"/>
    <n v="2.9576046488740459E-2"/>
    <n v="29"/>
    <n v="1158.1455205238492"/>
    <n v="6"/>
    <n v="6"/>
    <n v="23"/>
    <s v="NO"/>
    <s v=""/>
    <n v="22342.000000000011"/>
    <n v="2326.390364522405"/>
    <s v="Vigente"/>
    <s v=""/>
  </r>
  <r>
    <s v="CR00308"/>
    <s v="CL0231"/>
    <x v="2"/>
    <x v="5"/>
    <x v="257"/>
    <n v="69613"/>
    <n v="0.25276282846452658"/>
    <n v="1.8956720945798811E-2"/>
    <n v="13"/>
    <n v="6092.0798674468515"/>
    <n v="12"/>
    <n v="12"/>
    <n v="1"/>
    <s v="NO"/>
    <s v=""/>
    <n v="69612.99999999984"/>
    <n v="8846.8045632083667"/>
    <s v="Vigente"/>
    <s v=""/>
  </r>
  <r>
    <s v="CR00309"/>
    <s v="CL0114"/>
    <x v="0"/>
    <x v="1"/>
    <x v="258"/>
    <n v="9986"/>
    <n v="0.23970422090155208"/>
    <n v="1.8067343104893441E-2"/>
    <n v="12"/>
    <n v="933.10013471512684"/>
    <n v="12"/>
    <n v="12"/>
    <n v="0"/>
    <s v="NO"/>
    <s v=""/>
    <n v="0"/>
    <n v="0"/>
    <s v="Cancelado"/>
    <s v=""/>
  </r>
  <r>
    <s v="CR00310"/>
    <s v="CL0009"/>
    <x v="1"/>
    <x v="0"/>
    <x v="126"/>
    <n v="10252"/>
    <n v="0.52182142380542729"/>
    <n v="3.5611762399157199E-2"/>
    <n v="28"/>
    <n v="584.5132264682079"/>
    <n v="2"/>
    <n v="2"/>
    <n v="26"/>
    <s v="NO"/>
    <s v=""/>
    <n v="10251.999999999993"/>
    <n v="436.74073865070147"/>
    <s v="Vigente"/>
    <s v=""/>
  </r>
  <r>
    <s v="CR00311"/>
    <s v="CL0106"/>
    <x v="1"/>
    <x v="4"/>
    <x v="259"/>
    <n v="8562"/>
    <n v="0.44380142719818161"/>
    <n v="3.1079824382081567E-2"/>
    <n v="12"/>
    <n v="865.71023464810287"/>
    <n v="12"/>
    <n v="12"/>
    <n v="0"/>
    <s v="NO"/>
    <s v=""/>
    <n v="0"/>
    <n v="0"/>
    <s v="Cancelado"/>
    <s v=""/>
  </r>
  <r>
    <s v="CR00312"/>
    <s v="CL0186"/>
    <x v="3"/>
    <x v="4"/>
    <x v="260"/>
    <n v="19547"/>
    <n v="0.30667035005040982"/>
    <n v="2.2540464263744342E-2"/>
    <n v="19"/>
    <n v="1276.1439837052981"/>
    <n v="2"/>
    <n v="2"/>
    <n v="17"/>
    <s v="NO"/>
    <s v=""/>
    <n v="19547.000000000029"/>
    <n v="494.70902004217498"/>
    <s v="Vigente"/>
    <s v=""/>
  </r>
  <r>
    <s v="CR00313"/>
    <s v="CL0005"/>
    <x v="2"/>
    <x v="1"/>
    <x v="261"/>
    <n v="92798"/>
    <n v="0.26865569449217597"/>
    <n v="2.0027736219389691E-2"/>
    <n v="52"/>
    <n v="2888.5973486702687"/>
    <n v="34"/>
    <n v="34"/>
    <n v="18"/>
    <s v="NO"/>
    <s v=""/>
    <n v="92797.999999999985"/>
    <n v="37536.694470173752"/>
    <s v="Vigente"/>
    <s v=""/>
  </r>
  <r>
    <s v="CR00314"/>
    <s v="CL0239"/>
    <x v="1"/>
    <x v="7"/>
    <x v="262"/>
    <n v="13366"/>
    <n v="0.43359548101468776"/>
    <n v="3.0470472721556341E-2"/>
    <n v="7"/>
    <n v="2149.1334399586613"/>
    <n v="5"/>
    <n v="5"/>
    <n v="2"/>
    <s v="NO"/>
    <s v=""/>
    <n v="13366.00000000002"/>
    <n v="1198.5243426504492"/>
    <s v="Vigente"/>
    <s v=""/>
  </r>
  <r>
    <s v="CR00315"/>
    <s v="CL0176"/>
    <x v="4"/>
    <x v="2"/>
    <x v="263"/>
    <n v="117429"/>
    <n v="0.1369075579911872"/>
    <n v="1.0750029780093762E-2"/>
    <n v="109"/>
    <n v="1834.2114750171781"/>
    <n v="42"/>
    <n v="42"/>
    <n v="67"/>
    <s v="NO"/>
    <s v=""/>
    <n v="117428.99999999999"/>
    <n v="31789.01039108845"/>
    <s v="Vigente"/>
    <s v=""/>
  </r>
  <r>
    <s v="CR00316"/>
    <s v="CL0077"/>
    <x v="1"/>
    <x v="5"/>
    <x v="264"/>
    <n v="11640"/>
    <n v="0.44927444619556584"/>
    <n v="3.1404969438895813E-2"/>
    <n v="22"/>
    <n v="740.69827402335864"/>
    <n v="6"/>
    <n v="6"/>
    <n v="16"/>
    <s v="NO"/>
    <s v=""/>
    <n v="11639.999999999987"/>
    <n v="1269.6441895946971"/>
    <s v="Vigente"/>
    <s v=""/>
  </r>
  <r>
    <s v="CR00317"/>
    <s v="CL0231"/>
    <x v="2"/>
    <x v="5"/>
    <x v="265"/>
    <n v="56626"/>
    <n v="0.28192095387870142"/>
    <n v="2.0912302246030023E-2"/>
    <n v="14"/>
    <n v="4707.5039373739482"/>
    <n v="14"/>
    <n v="14"/>
    <n v="0"/>
    <s v="NO"/>
    <s v=""/>
    <n v="0"/>
    <n v="0"/>
    <s v="Cancelado"/>
    <s v=""/>
  </r>
  <r>
    <s v="CR00318"/>
    <s v="CL0249"/>
    <x v="0"/>
    <x v="3"/>
    <x v="266"/>
    <n v="18140"/>
    <n v="0.36354204748335017"/>
    <n v="2.6177239685784004E-2"/>
    <n v="23"/>
    <n v="1059.7828220526987"/>
    <n v="23"/>
    <n v="23"/>
    <n v="0"/>
    <s v="NO"/>
    <s v=""/>
    <n v="0"/>
    <n v="0"/>
    <s v="Cancelado"/>
    <s v=""/>
  </r>
  <r>
    <s v="CR00319"/>
    <s v="CL0218"/>
    <x v="3"/>
    <x v="3"/>
    <x v="267"/>
    <n v="46179"/>
    <n v="0.41372741503208565"/>
    <n v="2.9272746083283785E-2"/>
    <n v="17"/>
    <n v="3486.9051547537842"/>
    <n v="4"/>
    <n v="17"/>
    <n v="13"/>
    <s v="SI"/>
    <n v="4"/>
    <n v="46179.000000000036"/>
    <n v="3081.9735601916068"/>
    <s v="En mora"/>
    <n v="491"/>
  </r>
  <r>
    <s v="CR00320"/>
    <s v="CL0036"/>
    <x v="4"/>
    <x v="6"/>
    <x v="268"/>
    <n v="196630"/>
    <n v="0.1383462657835049"/>
    <n v="1.085655641253358E-2"/>
    <n v="77"/>
    <n v="3781.0686666563643"/>
    <n v="5"/>
    <n v="5"/>
    <n v="72"/>
    <s v="NO"/>
    <s v=""/>
    <n v="196629.99999999959"/>
    <n v="6137.1615151000015"/>
    <s v="Vigente"/>
    <s v=""/>
  </r>
  <r>
    <s v="CR00321"/>
    <s v="CL0197"/>
    <x v="1"/>
    <x v="2"/>
    <x v="269"/>
    <n v="8553"/>
    <n v="0.38164776430643416"/>
    <n v="2.730589022162988E-2"/>
    <n v="20"/>
    <n v="560.67188866543449"/>
    <n v="12"/>
    <n v="12"/>
    <n v="8"/>
    <s v="NO"/>
    <s v=""/>
    <n v="8553.0000000000036"/>
    <n v="1596.2626639852135"/>
    <s v="Vigente"/>
    <s v=""/>
  </r>
  <r>
    <s v="CR00322"/>
    <s v="CL0055"/>
    <x v="0"/>
    <x v="2"/>
    <x v="241"/>
    <n v="5188"/>
    <n v="0.25413468220642688"/>
    <n v="1.9049659426669363E-2"/>
    <n v="17"/>
    <n v="360.12640990440582"/>
    <n v="17"/>
    <n v="17"/>
    <n v="0"/>
    <s v="NO"/>
    <s v=""/>
    <n v="0"/>
    <n v="0"/>
    <s v="Cancelado"/>
    <s v=""/>
  </r>
  <r>
    <s v="CR00323"/>
    <s v="CL0183"/>
    <x v="4"/>
    <x v="7"/>
    <x v="270"/>
    <n v="210503"/>
    <n v="0.12456008319272227"/>
    <n v="9.8306668047687396E-3"/>
    <n v="229"/>
    <n v="2315.87270244089"/>
    <n v="7"/>
    <n v="7"/>
    <n v="222"/>
    <s v="NO"/>
    <s v=""/>
    <n v="210502.9999999998"/>
    <n v="9776.5193974355752"/>
    <s v="Vigente"/>
    <s v=""/>
  </r>
  <r>
    <s v="CR00324"/>
    <s v="CL0047"/>
    <x v="2"/>
    <x v="5"/>
    <x v="271"/>
    <n v="65453"/>
    <n v="0.217402496815011"/>
    <n v="1.6528397932013439E-2"/>
    <n v="47"/>
    <n v="2013.7946955669611"/>
    <n v="1"/>
    <n v="2"/>
    <n v="46"/>
    <s v="SI"/>
    <n v="1"/>
    <n v="65452.999999999927"/>
    <n v="621.17767429036519"/>
    <s v="En mora"/>
    <n v="34"/>
  </r>
  <r>
    <s v="CR00325"/>
    <s v="CL0041"/>
    <x v="0"/>
    <x v="5"/>
    <x v="272"/>
    <n v="10909"/>
    <n v="0.32541357050591335"/>
    <n v="2.3754800135971754E-2"/>
    <n v="21"/>
    <n v="665.79651740484246"/>
    <n v="14"/>
    <n v="21"/>
    <n v="7"/>
    <s v="SI"/>
    <n v="14"/>
    <n v="10909.000000000018"/>
    <n v="2048.4845770011279"/>
    <s v="En mora"/>
    <n v="245"/>
  </r>
  <r>
    <s v="CR00326"/>
    <s v="CL0097"/>
    <x v="2"/>
    <x v="4"/>
    <x v="40"/>
    <n v="98741"/>
    <n v="0.22850711109294525"/>
    <n v="1.7297880253096531E-2"/>
    <n v="59"/>
    <n v="2683.6360248514388"/>
    <n v="3"/>
    <n v="24"/>
    <n v="56"/>
    <s v="SI"/>
    <n v="3"/>
    <n v="98741.000000000044"/>
    <n v="3030.1792609949944"/>
    <s v="En mora"/>
    <n v="654"/>
  </r>
  <r>
    <s v="CR00327"/>
    <s v="CL0021"/>
    <x v="2"/>
    <x v="7"/>
    <x v="273"/>
    <n v="75314"/>
    <n v="0.33402249562699993"/>
    <n v="2.4307288015655848E-2"/>
    <n v="57"/>
    <n v="2455.2287633143887"/>
    <n v="2"/>
    <n v="2"/>
    <n v="55"/>
    <s v="NO"/>
    <s v=""/>
    <n v="75314.000000000102"/>
    <n v="2267.8610354007074"/>
    <s v="Vigente"/>
    <s v=""/>
  </r>
  <r>
    <s v="CR00328"/>
    <s v="CL0086"/>
    <x v="3"/>
    <x v="3"/>
    <x v="274"/>
    <n v="6579"/>
    <n v="0.449586518687492"/>
    <n v="3.1423475328606898E-2"/>
    <n v="13"/>
    <n v="624.26556266231216"/>
    <n v="3"/>
    <n v="3"/>
    <n v="10"/>
    <s v="NO"/>
    <s v=""/>
    <n v="6579.0000000000036"/>
    <n v="354.56591875616732"/>
    <s v="Vigente"/>
    <s v=""/>
  </r>
  <r>
    <s v="CR00329"/>
    <s v="CL0188"/>
    <x v="2"/>
    <x v="6"/>
    <x v="275"/>
    <n v="56060"/>
    <n v="0.27735820731171401"/>
    <n v="2.060899567975949E-2"/>
    <n v="34"/>
    <n v="2309.673922291945"/>
    <n v="6"/>
    <n v="6"/>
    <n v="28"/>
    <s v="NO"/>
    <s v=""/>
    <n v="56060.000000000007"/>
    <n v="3965.1023572810814"/>
    <s v="Vigente"/>
    <s v=""/>
  </r>
  <r>
    <s v="CR00330"/>
    <s v="CL0199"/>
    <x v="3"/>
    <x v="0"/>
    <x v="276"/>
    <n v="46373"/>
    <n v="0.41935513705339722"/>
    <n v="2.9613566101757138E-2"/>
    <n v="31"/>
    <n v="2306.7266210932157"/>
    <n v="31"/>
    <n v="31"/>
    <n v="0"/>
    <s v="NO"/>
    <s v=""/>
    <n v="0"/>
    <n v="0"/>
    <s v="Cancelado"/>
    <s v=""/>
  </r>
  <r>
    <s v="CR00331"/>
    <s v="CL0177"/>
    <x v="1"/>
    <x v="0"/>
    <x v="277"/>
    <n v="4232"/>
    <n v="0.39567158757573245"/>
    <n v="2.8170809519888707E-2"/>
    <n v="27"/>
    <n v="225.93087660854854"/>
    <n v="1"/>
    <n v="2"/>
    <n v="26"/>
    <s v="SI"/>
    <n v="1"/>
    <n v="4231.9999999999991"/>
    <n v="69.190135867807797"/>
    <s v="En mora"/>
    <n v="59"/>
  </r>
  <r>
    <s v="CR00332"/>
    <s v="CL0041"/>
    <x v="2"/>
    <x v="5"/>
    <x v="278"/>
    <n v="72220"/>
    <n v="0.25795610514633444"/>
    <n v="1.9308057495758257E-2"/>
    <n v="52"/>
    <n v="2213.1217710798405"/>
    <n v="2"/>
    <n v="4"/>
    <n v="50"/>
    <s v="SI"/>
    <n v="2"/>
    <n v="72219.999999999956"/>
    <n v="1648.5512344673732"/>
    <s v="En mora"/>
    <n v="72"/>
  </r>
  <r>
    <s v="CR00333"/>
    <s v="CL0154"/>
    <x v="3"/>
    <x v="2"/>
    <x v="279"/>
    <n v="37100"/>
    <n v="0.36125224139647572"/>
    <n v="2.6033523460590846E-2"/>
    <n v="22"/>
    <n v="2236.4099050230916"/>
    <n v="22"/>
    <n v="22"/>
    <n v="0"/>
    <s v="NO"/>
    <s v=""/>
    <n v="0"/>
    <n v="0"/>
    <s v="Cancelado"/>
    <s v=""/>
  </r>
  <r>
    <s v="CR00334"/>
    <s v="CL0208"/>
    <x v="1"/>
    <x v="4"/>
    <x v="280"/>
    <n v="13299"/>
    <n v="0.54423235575475293"/>
    <n v="3.6874165852351704E-2"/>
    <n v="16"/>
    <n v="1115.1594317990937"/>
    <n v="16"/>
    <n v="16"/>
    <n v="0"/>
    <s v="NO"/>
    <s v=""/>
    <n v="0"/>
    <n v="0"/>
    <s v="Cancelado"/>
    <s v=""/>
  </r>
  <r>
    <s v="CR00335"/>
    <s v="CL0147"/>
    <x v="1"/>
    <x v="7"/>
    <x v="281"/>
    <n v="6593"/>
    <n v="0.37536114126400072"/>
    <n v="2.6915547568468812E-2"/>
    <n v="19"/>
    <n v="447.80725215325117"/>
    <n v="6"/>
    <n v="6"/>
    <n v="13"/>
    <s v="NO"/>
    <s v=""/>
    <n v="6592.9999999999891"/>
    <n v="604.84351291950679"/>
    <s v="Vigente"/>
    <s v=""/>
  </r>
  <r>
    <s v="CR00336"/>
    <s v="CL0081"/>
    <x v="0"/>
    <x v="1"/>
    <x v="282"/>
    <n v="13510"/>
    <n v="0.25814830193252747"/>
    <n v="1.9321034499659495E-2"/>
    <n v="17"/>
    <n v="939.93635412689309"/>
    <n v="17"/>
    <n v="17"/>
    <n v="0"/>
    <s v="NO"/>
    <s v=""/>
    <n v="0"/>
    <n v="0"/>
    <s v="Cancelado"/>
    <s v=""/>
  </r>
  <r>
    <s v="CR00337"/>
    <s v="CL0079"/>
    <x v="1"/>
    <x v="2"/>
    <x v="283"/>
    <n v="1858"/>
    <n v="0.39307932789410238"/>
    <n v="2.801153390770561E-2"/>
    <n v="27"/>
    <n v="99.002400024267999"/>
    <n v="8"/>
    <n v="8"/>
    <n v="19"/>
    <s v="NO"/>
    <s v=""/>
    <n v="1858"/>
    <n v="241.50068167562546"/>
    <s v="Vigente"/>
    <s v=""/>
  </r>
  <r>
    <s v="CR00338"/>
    <s v="CL0187"/>
    <x v="3"/>
    <x v="5"/>
    <x v="284"/>
    <n v="16571"/>
    <n v="0.31290018855910706"/>
    <n v="2.2945844746483868E-2"/>
    <n v="20"/>
    <n v="1042.4657092062391"/>
    <n v="20"/>
    <n v="20"/>
    <n v="0"/>
    <s v="NO"/>
    <s v=""/>
    <n v="0"/>
    <n v="0"/>
    <s v="Cancelado"/>
    <s v=""/>
  </r>
  <r>
    <s v="CR00339"/>
    <s v="CL0241"/>
    <x v="2"/>
    <x v="6"/>
    <x v="113"/>
    <n v="23221"/>
    <n v="0.25871653246107301"/>
    <n v="1.935939043555468E-2"/>
    <n v="58"/>
    <n v="669.82506531893409"/>
    <n v="7"/>
    <n v="7"/>
    <n v="51"/>
    <s v="NO"/>
    <s v=""/>
    <n v="23221.000000000018"/>
    <n v="1886.2409744739182"/>
    <s v="Vigente"/>
    <s v=""/>
  </r>
  <r>
    <s v="CR00340"/>
    <s v="CL0109"/>
    <x v="0"/>
    <x v="1"/>
    <x v="201"/>
    <n v="19906"/>
    <n v="0.35349146777324891"/>
    <n v="2.5544776346887454E-2"/>
    <n v="7"/>
    <n v="3141.607864598504"/>
    <n v="4"/>
    <n v="7"/>
    <n v="3"/>
    <s v="SI"/>
    <n v="4"/>
    <n v="19905.999999999996"/>
    <n v="1191.5743155368732"/>
    <s v="En mora"/>
    <n v="140"/>
  </r>
  <r>
    <s v="CR00341"/>
    <s v="CL0196"/>
    <x v="0"/>
    <x v="7"/>
    <x v="285"/>
    <n v="6399"/>
    <n v="0.34913581571231389"/>
    <n v="2.5269345580825053E-2"/>
    <n v="22"/>
    <n v="382.73363747583164"/>
    <n v="22"/>
    <n v="22"/>
    <n v="0"/>
    <s v="NO"/>
    <s v=""/>
    <n v="0"/>
    <n v="0"/>
    <s v="Cancelado"/>
    <s v=""/>
  </r>
  <r>
    <s v="CR00342"/>
    <s v="CL0067"/>
    <x v="3"/>
    <x v="2"/>
    <x v="91"/>
    <n v="14459"/>
    <n v="0.31129259971712797"/>
    <n v="2.2841406752515558E-2"/>
    <n v="16"/>
    <n v="1089.0248769118862"/>
    <n v="5"/>
    <n v="5"/>
    <n v="11"/>
    <s v="NO"/>
    <s v=""/>
    <n v="14458.999999999991"/>
    <n v="926.68688455943084"/>
    <s v="Vigente"/>
    <s v=""/>
  </r>
  <r>
    <s v="CR00343"/>
    <s v="CL0077"/>
    <x v="3"/>
    <x v="5"/>
    <x v="286"/>
    <n v="37050"/>
    <n v="0.26726661129989582"/>
    <n v="1.9934618300170959E-2"/>
    <n v="11"/>
    <n v="3784.2849651084921"/>
    <n v="11"/>
    <n v="11"/>
    <n v="0"/>
    <s v="NO"/>
    <s v=""/>
    <n v="0"/>
    <n v="0"/>
    <s v="Cancelado"/>
    <s v=""/>
  </r>
  <r>
    <s v="CR00344"/>
    <s v="CL0007"/>
    <x v="4"/>
    <x v="3"/>
    <x v="75"/>
    <n v="121367"/>
    <n v="0.10091950836189449"/>
    <n v="8.0443287426288368E-3"/>
    <n v="81"/>
    <n v="2044.9687821942111"/>
    <n v="8"/>
    <n v="26"/>
    <n v="73"/>
    <s v="SI"/>
    <n v="8"/>
    <n v="121366.99999999991"/>
    <n v="4372.8860600228236"/>
    <s v="En mora"/>
    <n v="563"/>
  </r>
  <r>
    <s v="CR00345"/>
    <s v="CL0014"/>
    <x v="3"/>
    <x v="2"/>
    <x v="287"/>
    <n v="16459"/>
    <n v="0.33310490099345474"/>
    <n v="2.424855616538979E-2"/>
    <n v="40"/>
    <n v="647.39422959532112"/>
    <n v="2"/>
    <n v="2"/>
    <n v="38"/>
    <s v="NO"/>
    <s v=""/>
    <n v="16459"/>
    <n v="471.83845919064225"/>
    <s v="Vigente"/>
    <s v=""/>
  </r>
  <r>
    <s v="CR00346"/>
    <s v="CL0043"/>
    <x v="2"/>
    <x v="2"/>
    <x v="288"/>
    <n v="80403"/>
    <n v="0.32140289353928331"/>
    <n v="2.3496286146025724E-2"/>
    <n v="54"/>
    <n v="2643.4037263297992"/>
    <n v="9"/>
    <n v="9"/>
    <n v="45"/>
    <s v="NO"/>
    <s v=""/>
    <n v="80403.000000000044"/>
    <n v="10390.133536968191"/>
    <s v="Vigente"/>
    <s v=""/>
  </r>
  <r>
    <s v="CR00347"/>
    <s v="CL0113"/>
    <x v="3"/>
    <x v="2"/>
    <x v="289"/>
    <n v="31164"/>
    <n v="0.35218330500982892"/>
    <n v="2.5462139811082807E-2"/>
    <n v="48"/>
    <n v="1132.1648397192798"/>
    <n v="6"/>
    <n v="6"/>
    <n v="42"/>
    <s v="NO"/>
    <s v=""/>
    <n v="31163.999999999978"/>
    <n v="2897.489038315679"/>
    <s v="Vigente"/>
    <s v=""/>
  </r>
  <r>
    <s v="CR00348"/>
    <s v="CL0129"/>
    <x v="3"/>
    <x v="7"/>
    <x v="290"/>
    <n v="49873"/>
    <n v="0.39791077309257095"/>
    <n v="2.8308173136995629E-2"/>
    <n v="35"/>
    <n v="2264.0840665419887"/>
    <n v="1"/>
    <n v="1"/>
    <n v="34"/>
    <s v="NO"/>
    <s v=""/>
    <n v="49873"/>
    <n v="839.14120939913141"/>
    <s v="Vigente"/>
    <s v=""/>
  </r>
  <r>
    <s v="CR00349"/>
    <s v="CL0011"/>
    <x v="2"/>
    <x v="2"/>
    <x v="291"/>
    <n v="5219"/>
    <n v="0.20123813762338977"/>
    <n v="1.5396727358581774E-2"/>
    <n v="20"/>
    <n v="305.1746614472259"/>
    <n v="7"/>
    <n v="7"/>
    <n v="13"/>
    <s v="NO"/>
    <s v=""/>
    <n v="5218.9999999999927"/>
    <n v="309.57263013058122"/>
    <s v="Vigente"/>
    <s v=""/>
  </r>
  <r>
    <s v="CR00350"/>
    <s v="CL0044"/>
    <x v="3"/>
    <x v="3"/>
    <x v="292"/>
    <n v="43239"/>
    <n v="0.41086830733827628"/>
    <n v="2.9099119205576063E-2"/>
    <n v="24"/>
    <n v="2528.4380076366028"/>
    <n v="18"/>
    <n v="18"/>
    <n v="6"/>
    <s v="NO"/>
    <s v=""/>
    <n v="43239.000000000015"/>
    <n v="13082.634137458848"/>
    <s v="Vigente"/>
    <s v=""/>
  </r>
  <r>
    <s v="CR00351"/>
    <s v="CL0061"/>
    <x v="4"/>
    <x v="1"/>
    <x v="108"/>
    <n v="255564"/>
    <n v="0.1151217216668852"/>
    <n v="9.1216481608440425E-3"/>
    <n v="64"/>
    <n v="5289.2184670948227"/>
    <n v="1"/>
    <n v="3"/>
    <n v="63"/>
    <s v="SI"/>
    <n v="1"/>
    <n v="255563.99999999971"/>
    <n v="1296.0309670948227"/>
    <s v="En mora"/>
    <n v="63"/>
  </r>
  <r>
    <s v="CR00352"/>
    <s v="CL0044"/>
    <x v="2"/>
    <x v="3"/>
    <x v="97"/>
    <n v="58095"/>
    <n v="0.24105061504072167"/>
    <n v="1.815943752279181E-2"/>
    <n v="40"/>
    <n v="2055.7550695481336"/>
    <n v="6"/>
    <n v="6"/>
    <n v="34"/>
    <s v="NO"/>
    <s v=""/>
    <n v="58095.000000000065"/>
    <n v="3620.2804172888013"/>
    <s v="Vigente"/>
    <s v=""/>
  </r>
  <r>
    <s v="CR00353"/>
    <s v="CL0241"/>
    <x v="4"/>
    <x v="6"/>
    <x v="242"/>
    <n v="297277"/>
    <n v="0.12364039334018609"/>
    <n v="9.7618191924262465E-3"/>
    <n v="240"/>
    <n v="3214.2346499241062"/>
    <n v="2"/>
    <n v="2"/>
    <n v="238"/>
    <s v="NO"/>
    <s v=""/>
    <n v="297276.99999999983"/>
    <n v="3951.1609665148794"/>
    <s v="Vigente"/>
    <s v=""/>
  </r>
  <r>
    <s v="CR00354"/>
    <s v="CL0170"/>
    <x v="2"/>
    <x v="3"/>
    <x v="293"/>
    <n v="23367"/>
    <n v="0.20461101387780126"/>
    <n v="1.5634010862743741E-2"/>
    <n v="52"/>
    <n v="659.82467127238181"/>
    <n v="30"/>
    <n v="30"/>
    <n v="22"/>
    <s v="NO"/>
    <s v=""/>
    <n v="23366.999999999975"/>
    <n v="6313.7785997099145"/>
    <s v="Vigente"/>
    <s v=""/>
  </r>
  <r>
    <s v="CR00355"/>
    <s v="CL0021"/>
    <x v="0"/>
    <x v="7"/>
    <x v="22"/>
    <n v="8810"/>
    <n v="0.27092491674038199"/>
    <n v="2.0179653862918201E-2"/>
    <n v="8"/>
    <n v="1203.582708419427"/>
    <n v="3"/>
    <n v="3"/>
    <n v="5"/>
    <s v="NO"/>
    <s v=""/>
    <n v="8810.0000000000018"/>
    <n v="306.99812525828111"/>
    <s v="Vigente"/>
    <s v=""/>
  </r>
  <r>
    <s v="CR00356"/>
    <s v="CL0067"/>
    <x v="4"/>
    <x v="2"/>
    <x v="264"/>
    <n v="293658"/>
    <n v="0.11990199845341093"/>
    <n v="9.4814316674087795E-3"/>
    <n v="137"/>
    <n v="3837.7170509161933"/>
    <n v="6"/>
    <n v="6"/>
    <n v="131"/>
    <s v="NO"/>
    <s v=""/>
    <n v="293658.00000000047"/>
    <n v="10165.367998927817"/>
    <s v="Vigente"/>
    <s v=""/>
  </r>
  <r>
    <s v="CR00357"/>
    <s v="CL0215"/>
    <x v="0"/>
    <x v="6"/>
    <x v="294"/>
    <n v="17590"/>
    <n v="0.26618185584090681"/>
    <n v="1.986183606605807E-2"/>
    <n v="9"/>
    <n v="2153.6257434427844"/>
    <n v="2"/>
    <n v="2"/>
    <n v="7"/>
    <s v="NO"/>
    <s v=""/>
    <n v="17590.000000000018"/>
    <n v="398.36259799667943"/>
    <s v="Vigente"/>
    <s v=""/>
  </r>
  <r>
    <s v="CR00358"/>
    <s v="CL0024"/>
    <x v="3"/>
    <x v="4"/>
    <x v="295"/>
    <n v="39075"/>
    <n v="0.34146328255618696"/>
    <n v="2.4782182372798944E-2"/>
    <n v="44"/>
    <n v="1468.4943128490697"/>
    <n v="19"/>
    <n v="19"/>
    <n v="25"/>
    <s v="NO"/>
    <s v=""/>
    <n v="39075.000000000051"/>
    <n v="11028.096489586871"/>
    <s v="Vigente"/>
    <s v=""/>
  </r>
  <r>
    <s v="CR00359"/>
    <s v="CL0095"/>
    <x v="3"/>
    <x v="5"/>
    <x v="296"/>
    <n v="6870"/>
    <n v="0.25393720588894009"/>
    <n v="1.903628681329117E-2"/>
    <n v="12"/>
    <n v="645.78570685384875"/>
    <n v="1"/>
    <n v="1"/>
    <n v="11"/>
    <s v="NO"/>
    <s v=""/>
    <n v="6870.0000000000009"/>
    <n v="73.285706853848751"/>
    <s v="Vigente"/>
    <s v=""/>
  </r>
  <r>
    <s v="CR00360"/>
    <s v="CL0106"/>
    <x v="3"/>
    <x v="4"/>
    <x v="134"/>
    <n v="21761"/>
    <n v="0.42903495739904601"/>
    <n v="3.0196897703043568E-2"/>
    <n v="22"/>
    <n v="1368.1408543302682"/>
    <n v="6"/>
    <n v="6"/>
    <n v="16"/>
    <s v="NO"/>
    <s v=""/>
    <n v="21760.999999999985"/>
    <n v="2274.0269441634277"/>
    <s v="Vigente"/>
    <s v=""/>
  </r>
  <r>
    <s v="CR00361"/>
    <s v="CL0018"/>
    <x v="3"/>
    <x v="3"/>
    <x v="297"/>
    <n v="19600"/>
    <n v="0.33893827754512856"/>
    <n v="2.462129989970463E-2"/>
    <n v="16"/>
    <n v="1496.9191499943377"/>
    <n v="14"/>
    <n v="14"/>
    <n v="2"/>
    <s v="NO"/>
    <s v=""/>
    <n v="19600.000000000029"/>
    <n v="3806.8680999207272"/>
    <s v="Vigente"/>
    <s v=""/>
  </r>
  <r>
    <s v="CR00362"/>
    <s v="CL0091"/>
    <x v="2"/>
    <x v="6"/>
    <x v="298"/>
    <n v="45654"/>
    <n v="0.31313588790610214"/>
    <n v="2.2961147244535018E-2"/>
    <n v="51"/>
    <n v="1528.4974886166628"/>
    <n v="9"/>
    <n v="9"/>
    <n v="42"/>
    <s v="NO"/>
    <s v=""/>
    <n v="45653.999999999993"/>
    <n v="5699.8891622558494"/>
    <s v="Vigente"/>
    <s v=""/>
  </r>
  <r>
    <s v="CR00363"/>
    <s v="CL0214"/>
    <x v="0"/>
    <x v="5"/>
    <x v="103"/>
    <n v="19664"/>
    <n v="0.33987487791301191"/>
    <n v="2.4681008474056076E-2"/>
    <n v="20"/>
    <n v="1257.5914012826909"/>
    <n v="1"/>
    <n v="1"/>
    <n v="19"/>
    <s v="NO"/>
    <s v=""/>
    <n v="19663.999999999985"/>
    <n v="274.39140128269082"/>
    <s v="Vigente"/>
    <s v=""/>
  </r>
  <r>
    <s v="CR00364"/>
    <s v="CL0140"/>
    <x v="3"/>
    <x v="7"/>
    <x v="299"/>
    <n v="37553"/>
    <n v="0.38209261362552749"/>
    <n v="2.7333449639730167E-2"/>
    <n v="33"/>
    <n v="1741.812285841637"/>
    <n v="5"/>
    <n v="5"/>
    <n v="28"/>
    <s v="NO"/>
    <s v=""/>
    <n v="37553.000000000022"/>
    <n v="3019.2129443597009"/>
    <s v="Vigente"/>
    <s v=""/>
  </r>
  <r>
    <s v="CR00365"/>
    <s v="CL0238"/>
    <x v="1"/>
    <x v="1"/>
    <x v="300"/>
    <n v="11902"/>
    <n v="0.42145124279588586"/>
    <n v="2.9740191650931891E-2"/>
    <n v="30"/>
    <n v="605.19370143791662"/>
    <n v="22"/>
    <n v="22"/>
    <n v="8"/>
    <s v="NO"/>
    <s v=""/>
    <n v="11902.000000000011"/>
    <n v="4586.1280983008319"/>
    <s v="Vigente"/>
    <s v=""/>
  </r>
  <r>
    <s v="CR00366"/>
    <s v="CL0037"/>
    <x v="4"/>
    <x v="5"/>
    <x v="189"/>
    <n v="166297"/>
    <n v="0.12268917316556485"/>
    <n v="9.6905568694920508E-3"/>
    <n v="195"/>
    <n v="1901.4973801817325"/>
    <n v="5"/>
    <n v="5"/>
    <n v="190"/>
    <s v="NO"/>
    <s v=""/>
    <n v="166296.99999999971"/>
    <n v="5243.4612598830208"/>
    <s v="Vigente"/>
    <s v=""/>
  </r>
  <r>
    <s v="CR00367"/>
    <s v="CL0219"/>
    <x v="2"/>
    <x v="7"/>
    <x v="52"/>
    <n v="12973"/>
    <n v="0.28302125353949148"/>
    <n v="2.0985296072985049E-2"/>
    <n v="29"/>
    <n v="601.72538421570857"/>
    <n v="1"/>
    <n v="1"/>
    <n v="28"/>
    <s v="NO"/>
    <s v=""/>
    <n v="12973"/>
    <n v="154.38055662950163"/>
    <s v="Vigente"/>
    <s v=""/>
  </r>
  <r>
    <s v="CR00368"/>
    <s v="CL0091"/>
    <x v="3"/>
    <x v="6"/>
    <x v="301"/>
    <n v="7423"/>
    <n v="0.43343637904348903"/>
    <n v="3.0460942009803649E-2"/>
    <n v="43"/>
    <n v="311.96287852920278"/>
    <n v="2"/>
    <n v="2"/>
    <n v="41"/>
    <s v="NO"/>
    <s v=""/>
    <n v="7423.0000000000009"/>
    <n v="278.66994310491719"/>
    <s v="Vigente"/>
    <s v=""/>
  </r>
  <r>
    <s v="CR00369"/>
    <s v="CL0110"/>
    <x v="4"/>
    <x v="6"/>
    <x v="49"/>
    <n v="278642"/>
    <n v="0.11243459121979082"/>
    <n v="8.9187823393381827E-3"/>
    <n v="177"/>
    <n v="3136.6523148413903"/>
    <n v="2"/>
    <n v="2"/>
    <n v="175"/>
    <s v="NO"/>
    <s v=""/>
    <n v="278641.99999999994"/>
    <n v="3124.8074545415375"/>
    <s v="Vigente"/>
    <s v=""/>
  </r>
  <r>
    <s v="CR00370"/>
    <s v="CL0151"/>
    <x v="0"/>
    <x v="2"/>
    <x v="302"/>
    <n v="13846"/>
    <n v="0.29929943588051128"/>
    <n v="2.2058538630463254E-2"/>
    <n v="12"/>
    <n v="1325.8805998422476"/>
    <n v="12"/>
    <n v="12"/>
    <n v="0"/>
    <s v="NO"/>
    <s v=""/>
    <n v="0"/>
    <n v="0"/>
    <s v="Cancelado"/>
    <s v=""/>
  </r>
  <r>
    <s v="CR00371"/>
    <s v="CL0182"/>
    <x v="4"/>
    <x v="2"/>
    <x v="147"/>
    <n v="181951"/>
    <n v="9.0287755749666118E-2"/>
    <n v="7.229478869303918E-3"/>
    <n v="66"/>
    <n v="3476.4121663685737"/>
    <n v="11"/>
    <n v="12"/>
    <n v="55"/>
    <s v="SI"/>
    <n v="11"/>
    <n v="181950.99999999936"/>
    <n v="7915.3671633876456"/>
    <s v="En mora"/>
    <n v="50"/>
  </r>
  <r>
    <s v="CR00372"/>
    <s v="CL0140"/>
    <x v="4"/>
    <x v="7"/>
    <x v="303"/>
    <n v="287213"/>
    <n v="0.13852782532719032"/>
    <n v="1.0869990904131654E-2"/>
    <n v="63"/>
    <n v="6320.5192187634921"/>
    <n v="8"/>
    <n v="8"/>
    <n v="55"/>
    <s v="NO"/>
    <s v=""/>
    <n v="287212.99999999936"/>
    <n v="14092.661686615869"/>
    <s v="Vigente"/>
    <s v=""/>
  </r>
  <r>
    <s v="CR00373"/>
    <s v="CL0194"/>
    <x v="3"/>
    <x v="4"/>
    <x v="304"/>
    <n v="39302"/>
    <n v="0.25999841705472837"/>
    <n v="1.9445860233208379E-2"/>
    <n v="27"/>
    <n v="1884.8373819225294"/>
    <n v="17"/>
    <n v="17"/>
    <n v="10"/>
    <s v="NO"/>
    <s v=""/>
    <n v="39302.000000000029"/>
    <n v="7296.5317889792968"/>
    <s v="Vigente"/>
    <s v=""/>
  </r>
  <r>
    <s v="CR00374"/>
    <s v="CL0052"/>
    <x v="1"/>
    <x v="5"/>
    <x v="305"/>
    <n v="2042"/>
    <n v="0.5291211612081832"/>
    <n v="3.6024815940557398E-2"/>
    <n v="24"/>
    <n v="128.53356084555301"/>
    <n v="9"/>
    <n v="9"/>
    <n v="15"/>
    <s v="NO"/>
    <s v=""/>
    <n v="2042.0000000000007"/>
    <n v="391.05204760997719"/>
    <s v="Vigente"/>
    <s v=""/>
  </r>
  <r>
    <s v="CR00375"/>
    <s v="CL0216"/>
    <x v="3"/>
    <x v="3"/>
    <x v="227"/>
    <n v="12206"/>
    <n v="0.31390427536212806"/>
    <n v="2.3011016403129858E-2"/>
    <n v="42"/>
    <n v="456.41795968071187"/>
    <n v="14"/>
    <n v="14"/>
    <n v="28"/>
    <s v="NO"/>
    <s v=""/>
    <n v="12205.999999999987"/>
    <n v="2321.1847688632997"/>
    <s v="Vigente"/>
    <s v=""/>
  </r>
  <r>
    <s v="CR00376"/>
    <s v="CL0182"/>
    <x v="4"/>
    <x v="2"/>
    <x v="80"/>
    <n v="261169"/>
    <n v="0.13445306321473205"/>
    <n v="1.0568005386493828E-2"/>
    <n v="64"/>
    <n v="5635.9000746602514"/>
    <n v="18"/>
    <n v="18"/>
    <n v="46"/>
    <s v="NO"/>
    <s v=""/>
    <n v="261168.99999999924"/>
    <n v="27992.420093884524"/>
    <s v="Vigente"/>
    <s v=""/>
  </r>
  <r>
    <s v="CR00377"/>
    <s v="CL0240"/>
    <x v="2"/>
    <x v="4"/>
    <x v="306"/>
    <n v="62458"/>
    <n v="0.29903315870870173"/>
    <n v="2.2041082016527103E-2"/>
    <n v="47"/>
    <n v="2147.3508832690022"/>
    <n v="11"/>
    <n v="27"/>
    <n v="36"/>
    <s v="SI"/>
    <n v="11"/>
    <n v="62458.000000000007"/>
    <n v="9003.0299287249836"/>
    <s v="En mora"/>
    <n v="510"/>
  </r>
  <r>
    <s v="CR00378"/>
    <s v="CL0161"/>
    <x v="2"/>
    <x v="2"/>
    <x v="307"/>
    <n v="36105"/>
    <n v="0.26965164752522036"/>
    <n v="2.0094442942344637E-2"/>
    <n v="37"/>
    <n v="1392.4459661010378"/>
    <n v="23"/>
    <n v="23"/>
    <n v="14"/>
    <s v="NO"/>
    <s v=""/>
    <n v="36105.000000000029"/>
    <n v="9582.6085716752204"/>
    <s v="Vigente"/>
    <s v=""/>
  </r>
  <r>
    <s v="CR00379"/>
    <s v="CL0143"/>
    <x v="3"/>
    <x v="1"/>
    <x v="283"/>
    <n v="22459"/>
    <n v="0.44095511430517681"/>
    <n v="3.0910281740984091E-2"/>
    <n v="13"/>
    <n v="2124.1224293760642"/>
    <n v="8"/>
    <n v="8"/>
    <n v="5"/>
    <s v="NO"/>
    <s v=""/>
    <n v="22459.000000000033"/>
    <n v="3172.0563580854373"/>
    <s v="Vigente"/>
    <s v=""/>
  </r>
  <r>
    <s v="CR00380"/>
    <s v="CL0092"/>
    <x v="3"/>
    <x v="3"/>
    <x v="260"/>
    <n v="42205"/>
    <n v="0.25464127686804944"/>
    <n v="1.9083955953475007E-2"/>
    <n v="34"/>
    <n v="1698.6966051015042"/>
    <n v="2"/>
    <n v="2"/>
    <n v="32"/>
    <s v="NO"/>
    <s v=""/>
    <n v="42204.99999999992"/>
    <n v="914.7461513794791"/>
    <s v="Vigente"/>
    <s v=""/>
  </r>
  <r>
    <s v="CR00381"/>
    <s v="CL0016"/>
    <x v="3"/>
    <x v="2"/>
    <x v="308"/>
    <n v="10689"/>
    <n v="0.27725326373044923"/>
    <n v="2.0602007924629184E-2"/>
    <n v="7"/>
    <n v="1655.4023276316223"/>
    <n v="4"/>
    <n v="4"/>
    <n v="3"/>
    <s v="NO"/>
    <s v=""/>
    <n v="10688.999999999984"/>
    <n v="513.60931052648914"/>
    <s v="Vigente"/>
    <s v=""/>
  </r>
  <r>
    <s v="CR00382"/>
    <s v="CL0024"/>
    <x v="4"/>
    <x v="4"/>
    <x v="309"/>
    <n v="223013"/>
    <n v="0.12872681077890591"/>
    <n v="1.0141941160553447E-2"/>
    <n v="217"/>
    <n v="2546.9072929623899"/>
    <n v="27"/>
    <n v="27"/>
    <n v="190"/>
    <s v="NO"/>
    <s v=""/>
    <n v="223013.00000000012"/>
    <n v="41018.335619661942"/>
    <s v="Vigente"/>
    <s v=""/>
  </r>
  <r>
    <s v="CR00383"/>
    <s v="CL0166"/>
    <x v="1"/>
    <x v="4"/>
    <x v="310"/>
    <n v="5248"/>
    <n v="0.38374678870201823"/>
    <n v="2.7435858230307364E-2"/>
    <n v="20"/>
    <n v="344.43868526934796"/>
    <n v="10"/>
    <n v="20"/>
    <n v="10"/>
    <s v="SI"/>
    <n v="10"/>
    <n v="5247.9999999999936"/>
    <n v="820.38685269347934"/>
    <s v="En mora"/>
    <n v="304"/>
  </r>
  <r>
    <s v="CR00384"/>
    <s v="CL0205"/>
    <x v="4"/>
    <x v="7"/>
    <x v="311"/>
    <n v="112976"/>
    <n v="0.11328632630413391"/>
    <n v="8.9831329477110256E-3"/>
    <n v="137"/>
    <n v="1436.8955118912575"/>
    <n v="6"/>
    <n v="6"/>
    <n v="131"/>
    <s v="SI"/>
    <n v="6"/>
    <n v="112975.99999999985"/>
    <n v="3673.5190567490044"/>
    <s v="En mora"/>
    <n v="30"/>
  </r>
  <r>
    <s v="CR00385"/>
    <s v="CL0043"/>
    <x v="3"/>
    <x v="2"/>
    <x v="312"/>
    <n v="19776"/>
    <n v="0.38764497440937629"/>
    <n v="2.7676748503798754E-2"/>
    <n v="29"/>
    <n v="1000.7322295751981"/>
    <n v="8"/>
    <n v="8"/>
    <n v="21"/>
    <s v="NO"/>
    <s v=""/>
    <n v="19776.000000000011"/>
    <n v="2550.4095607395152"/>
    <s v="Vigente"/>
    <s v=""/>
  </r>
  <r>
    <s v="CR00386"/>
    <s v="CL0197"/>
    <x v="0"/>
    <x v="2"/>
    <x v="155"/>
    <n v="10433"/>
    <n v="0.32362095853280992"/>
    <n v="2.3639343486526299E-2"/>
    <n v="12"/>
    <n v="1008.7222812363437"/>
    <n v="1"/>
    <n v="4"/>
    <n v="11"/>
    <s v="SI"/>
    <n v="1"/>
    <n v="10432.999999999989"/>
    <n v="139.30561456967703"/>
    <s v="En mora"/>
    <n v="112"/>
  </r>
  <r>
    <s v="CR00387"/>
    <s v="CL0201"/>
    <x v="3"/>
    <x v="2"/>
    <x v="313"/>
    <n v="8755"/>
    <n v="0.38351746546287857"/>
    <n v="2.7421667723558585E-2"/>
    <n v="18"/>
    <n v="622.76967253390205"/>
    <n v="16"/>
    <n v="16"/>
    <n v="2"/>
    <s v="NO"/>
    <s v=""/>
    <n v="8754.9999999999873"/>
    <n v="2182.0925383202102"/>
    <s v="Vigente"/>
    <s v=""/>
  </r>
  <r>
    <s v="CR00388"/>
    <s v="CL0060"/>
    <x v="2"/>
    <x v="7"/>
    <x v="314"/>
    <n v="48861"/>
    <n v="0.27861971220187642"/>
    <n v="2.0692952866894876E-2"/>
    <n v="26"/>
    <n v="2448.8439892332917"/>
    <n v="26"/>
    <n v="26"/>
    <n v="0"/>
    <s v="NO"/>
    <s v=""/>
    <n v="0"/>
    <n v="0"/>
    <s v="Cancelado"/>
    <s v=""/>
  </r>
  <r>
    <s v="CR00389"/>
    <s v="CL0145"/>
    <x v="1"/>
    <x v="3"/>
    <x v="315"/>
    <n v="13705"/>
    <n v="0.48238692101012604"/>
    <n v="3.3348463099684755E-2"/>
    <n v="10"/>
    <n v="1634.2192326318511"/>
    <n v="10"/>
    <n v="10"/>
    <n v="0"/>
    <s v="NO"/>
    <s v=""/>
    <n v="0"/>
    <n v="0"/>
    <s v="Cancelado"/>
    <s v=""/>
  </r>
  <r>
    <s v="CR00390"/>
    <s v="CL0210"/>
    <x v="1"/>
    <x v="4"/>
    <x v="244"/>
    <n v="3524"/>
    <n v="0.41307347137572115"/>
    <n v="2.9233062034873969E-2"/>
    <n v="22"/>
    <n v="219.42637537266671"/>
    <n v="12"/>
    <n v="22"/>
    <n v="10"/>
    <s v="SI"/>
    <n v="12"/>
    <n v="3523.9999999999964"/>
    <n v="710.93468629018219"/>
    <s v="En mora"/>
    <n v="606"/>
  </r>
  <r>
    <s v="CR00391"/>
    <s v="CL0168"/>
    <x v="4"/>
    <x v="1"/>
    <x v="316"/>
    <n v="246042"/>
    <n v="0.10302318658338286"/>
    <n v="8.2047057369978305E-3"/>
    <n v="125"/>
    <n v="3154.661412996797"/>
    <n v="9"/>
    <n v="9"/>
    <n v="116"/>
    <s v="NO"/>
    <s v=""/>
    <n v="246041.99999999901"/>
    <n v="10676.928716971172"/>
    <s v="Vigente"/>
    <s v=""/>
  </r>
  <r>
    <s v="CR00392"/>
    <s v="CL0191"/>
    <x v="4"/>
    <x v="6"/>
    <x v="317"/>
    <n v="226777"/>
    <n v="0.13548216904212601"/>
    <n v="1.0644367388045861E-2"/>
    <n v="117"/>
    <n v="3398.5584849280508"/>
    <n v="1"/>
    <n v="3"/>
    <n v="116"/>
    <s v="SI"/>
    <n v="1"/>
    <n v="226776.9999999998"/>
    <n v="1460.2935276630935"/>
    <s v="En mora"/>
    <n v="69"/>
  </r>
  <r>
    <s v="CR00393"/>
    <s v="CL0178"/>
    <x v="0"/>
    <x v="7"/>
    <x v="318"/>
    <n v="13571"/>
    <n v="0.27583679506996234"/>
    <n v="2.0507639659885335E-2"/>
    <n v="23"/>
    <n v="746.01730318748423"/>
    <n v="21"/>
    <n v="21"/>
    <n v="2"/>
    <s v="NO"/>
    <s v=""/>
    <n v="13570.999999999976"/>
    <n v="3275.4503234589083"/>
    <s v="Vigente"/>
    <s v=""/>
  </r>
  <r>
    <s v="CR00394"/>
    <s v="CL0232"/>
    <x v="4"/>
    <x v="5"/>
    <x v="319"/>
    <n v="213730"/>
    <n v="9.705785899601567E-2"/>
    <n v="7.7491977181340932E-3"/>
    <n v="84"/>
    <n v="3471.2429024912544"/>
    <n v="12"/>
    <n v="12"/>
    <n v="72"/>
    <s v="NO"/>
    <s v=""/>
    <n v="213730.00000000073"/>
    <n v="11122.057687037906"/>
    <s v="Vigente"/>
    <s v=""/>
  </r>
  <r>
    <s v="CR00395"/>
    <s v="CL0107"/>
    <x v="1"/>
    <x v="4"/>
    <x v="320"/>
    <n v="11126"/>
    <n v="0.53902587841747229"/>
    <n v="3.6582390779206664E-2"/>
    <n v="7"/>
    <n v="1830.3563971218787"/>
    <n v="4"/>
    <n v="4"/>
    <n v="3"/>
    <s v="NO"/>
    <s v=""/>
    <n v="11126.000000000013"/>
    <n v="963.71130277322868"/>
    <s v="Vigente"/>
    <s v=""/>
  </r>
  <r>
    <s v="CR00396"/>
    <s v="CL0132"/>
    <x v="2"/>
    <x v="7"/>
    <x v="22"/>
    <n v="11994"/>
    <n v="0.26275659678632191"/>
    <n v="1.9631640739997458E-2"/>
    <n v="44"/>
    <n v="409.57264354585976"/>
    <n v="3"/>
    <n v="3"/>
    <n v="41"/>
    <s v="NO"/>
    <s v=""/>
    <n v="11994.000000000007"/>
    <n v="410.94520336485209"/>
    <s v="Vigente"/>
    <s v=""/>
  </r>
  <r>
    <s v="CR00397"/>
    <s v="CL0100"/>
    <x v="2"/>
    <x v="2"/>
    <x v="321"/>
    <n v="29361"/>
    <n v="0.29650927863052812"/>
    <n v="2.1875458260395497E-2"/>
    <n v="44"/>
    <n v="1045.9190382360662"/>
    <n v="22"/>
    <n v="22"/>
    <n v="22"/>
    <s v="NO"/>
    <s v=""/>
    <n v="29361.000000000015"/>
    <n v="8329.7188411934549"/>
    <s v="Vigente"/>
    <s v=""/>
  </r>
  <r>
    <s v="CR00398"/>
    <s v="CL0130"/>
    <x v="2"/>
    <x v="3"/>
    <x v="322"/>
    <n v="37991"/>
    <n v="0.28660170832599846"/>
    <n v="2.1222426747535827E-2"/>
    <n v="56"/>
    <n v="1165.9665112187217"/>
    <n v="6"/>
    <n v="30"/>
    <n v="50"/>
    <s v="SI"/>
    <n v="6"/>
    <n v="37991.000000000036"/>
    <n v="2925.3347815980451"/>
    <s v="En mora"/>
    <n v="760"/>
  </r>
  <r>
    <s v="CR00399"/>
    <s v="CL0237"/>
    <x v="3"/>
    <x v="3"/>
    <x v="323"/>
    <n v="37565"/>
    <n v="0.36510913837587849"/>
    <n v="2.6275468324470141E-2"/>
    <n v="35"/>
    <n v="1654.5052321716355"/>
    <n v="10"/>
    <n v="10"/>
    <n v="25"/>
    <s v="NO"/>
    <s v=""/>
    <n v="37565.000000000015"/>
    <n v="5812.1951788592123"/>
    <s v="Vigente"/>
    <s v=""/>
  </r>
  <r>
    <s v="CR00400"/>
    <s v="CL0113"/>
    <x v="0"/>
    <x v="2"/>
    <x v="41"/>
    <n v="4844"/>
    <n v="0.26014243817462557"/>
    <n v="1.9455570168900982E-2"/>
    <n v="16"/>
    <n v="355.2244446069173"/>
    <n v="6"/>
    <n v="6"/>
    <n v="10"/>
    <s v="NO"/>
    <s v=""/>
    <n v="4843.9999999999955"/>
    <n v="314.84666764150381"/>
    <s v="Vigente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D0001"/>
    <s v="CL0232"/>
    <x v="0"/>
    <x v="0"/>
    <x v="0"/>
    <n v="3.8358065787119838E-2"/>
    <n v="3.1416482205290919E-3"/>
    <n v="3"/>
    <n v="46114"/>
    <d v="2023-01-20T00:00:00"/>
    <n v="46549.988757136598"/>
    <n v="435.988757136598"/>
    <s v="Vencido"/>
  </r>
  <r>
    <s v="D0002"/>
    <s v="CL0175"/>
    <x v="1"/>
    <x v="1"/>
    <x v="1"/>
    <n v="1.0619822504129944E-2"/>
    <n v="8.8070661725048183E-4"/>
    <n v="0"/>
    <n v="10935"/>
    <s v=""/>
    <n v="11267.24113575509"/>
    <n v="332.24113575509"/>
    <s v="Vigente"/>
  </r>
  <r>
    <s v="D0003"/>
    <s v="CL0118"/>
    <x v="2"/>
    <x v="0"/>
    <x v="2"/>
    <n v="5.6700153814066817E-2"/>
    <n v="4.6064932547522641E-3"/>
    <n v="12"/>
    <n v="46389"/>
    <d v="2027-05-17T00:00:00"/>
    <n v="46817.36559556875"/>
    <n v="428.36559556875"/>
    <s v="Vigente"/>
  </r>
  <r>
    <s v="D0004"/>
    <s v="CL0058"/>
    <x v="3"/>
    <x v="2"/>
    <x v="3"/>
    <n v="3.1995841173304951E-2"/>
    <n v="2.6280002529386337E-3"/>
    <n v="6"/>
    <n v="3237"/>
    <d v="2026-01-29T00:00:00"/>
    <n v="3288.3775378005253"/>
    <n v="51.377537800525261"/>
    <s v="Vencido"/>
  </r>
  <r>
    <s v="D0005"/>
    <s v="CL0188"/>
    <x v="4"/>
    <x v="2"/>
    <x v="0"/>
    <n v="4.1030442425146349E-2"/>
    <n v="3.3565399941166696E-3"/>
    <n v="6"/>
    <n v="39733"/>
    <d v="2023-04-20T00:00:00"/>
    <n v="40539.93724278867"/>
    <n v="806.93724278867012"/>
    <s v="Vencido"/>
  </r>
  <r>
    <s v="D0006"/>
    <s v="CL0176"/>
    <x v="3"/>
    <x v="1"/>
    <x v="4"/>
    <n v="4.3224198566618258E-2"/>
    <n v="3.5325672267516595E-3"/>
    <n v="6"/>
    <n v="3862"/>
    <d v="2024-03-14T00:00:00"/>
    <n v="3944.5829720625552"/>
    <n v="82.5829720625552"/>
    <s v="Vencido"/>
  </r>
  <r>
    <s v="D0007"/>
    <s v="CL0196"/>
    <x v="3"/>
    <x v="0"/>
    <x v="5"/>
    <n v="3.948237770536938E-2"/>
    <n v="3.2321183592061153E-3"/>
    <n v="6"/>
    <n v="45364"/>
    <d v="2026-01-09T00:00:00"/>
    <n v="46250.870097805942"/>
    <n v="886.87009780594235"/>
    <s v="Vencido"/>
  </r>
  <r>
    <s v="D0008"/>
    <s v="CL0006"/>
    <x v="1"/>
    <x v="0"/>
    <x v="6"/>
    <n v="7.3610967259795101E-3"/>
    <n v="6.1136481393764264E-4"/>
    <n v="0"/>
    <n v="24729"/>
    <s v=""/>
    <n v="25094.40508116176"/>
    <n v="365.40508116175988"/>
    <s v="Vigente"/>
  </r>
  <r>
    <s v="D0009"/>
    <s v="CL0097"/>
    <x v="1"/>
    <x v="3"/>
    <x v="7"/>
    <n v="9.431496746287342E-3"/>
    <n v="7.8258087935201281E-4"/>
    <n v="0"/>
    <n v="45828"/>
    <s v=""/>
    <n v="46007.601468142886"/>
    <n v="179.60146814288601"/>
    <s v="Vigente"/>
  </r>
  <r>
    <s v="D0010"/>
    <s v="CL0086"/>
    <x v="2"/>
    <x v="4"/>
    <x v="8"/>
    <n v="6.4374894316791012E-2"/>
    <n v="5.2125108721003954E-3"/>
    <n v="12"/>
    <n v="6488"/>
    <d v="2027-07-12T00:00:00"/>
    <n v="6488"/>
    <n v="0"/>
    <s v="Vigente"/>
  </r>
  <r>
    <s v="D0011"/>
    <s v="CL0032"/>
    <x v="4"/>
    <x v="1"/>
    <x v="9"/>
    <n v="4.3920183688569828E-2"/>
    <n v="3.5883422510003538E-3"/>
    <n v="6"/>
    <n v="12960"/>
    <d v="2025-04-19T00:00:00"/>
    <n v="13241.544635148352"/>
    <n v="281.54463514835152"/>
    <s v="Vencido"/>
  </r>
  <r>
    <s v="D0012"/>
    <s v="CL0168"/>
    <x v="1"/>
    <x v="1"/>
    <x v="10"/>
    <n v="7.1677703218448012E-3"/>
    <n v="5.9536081966626853E-4"/>
    <n v="0"/>
    <n v="10104"/>
    <s v=""/>
    <n v="10231.080979387405"/>
    <n v="127.08097938740502"/>
    <s v="Vigente"/>
  </r>
  <r>
    <s v="D0013"/>
    <s v="CL0045"/>
    <x v="1"/>
    <x v="0"/>
    <x v="11"/>
    <n v="6.6689185622468179E-3"/>
    <n v="5.5405173820566311E-4"/>
    <n v="0"/>
    <n v="48142"/>
    <s v=""/>
    <n v="48248.781337739034"/>
    <n v="106.78133773903392"/>
    <s v="Vigente"/>
  </r>
  <r>
    <s v="D0014"/>
    <s v="CL0113"/>
    <x v="3"/>
    <x v="5"/>
    <x v="12"/>
    <n v="3.4412296033163835E-2"/>
    <n v="2.8234313556865231E-3"/>
    <n v="6"/>
    <n v="17895"/>
    <d v="2025-12-12T00:00:00"/>
    <n v="18200.299718172315"/>
    <n v="305.2997181723149"/>
    <s v="Vencido"/>
  </r>
  <r>
    <s v="D0015"/>
    <s v="CL0078"/>
    <x v="1"/>
    <x v="0"/>
    <x v="13"/>
    <n v="9.2422025460116679E-3"/>
    <n v="7.6694017603862186E-4"/>
    <n v="0"/>
    <n v="35459"/>
    <s v=""/>
    <n v="35731.889798975026"/>
    <n v="272.88979897502577"/>
    <s v="Vigente"/>
  </r>
  <r>
    <s v="D0016"/>
    <s v="CL0238"/>
    <x v="3"/>
    <x v="1"/>
    <x v="14"/>
    <n v="3.3168018426670193E-2"/>
    <n v="2.722852569154055E-3"/>
    <n v="6"/>
    <n v="35548"/>
    <d v="2026-11-20T00:00:00"/>
    <n v="35741.847476502051"/>
    <n v="193.84747650205099"/>
    <s v="Vigente"/>
  </r>
  <r>
    <s v="D0017"/>
    <s v="CL0234"/>
    <x v="0"/>
    <x v="6"/>
    <x v="15"/>
    <n v="3.7197834566335401E-2"/>
    <n v="3.0481935654160797E-3"/>
    <n v="3"/>
    <n v="20857"/>
    <d v="2022-07-12T00:00:00"/>
    <n v="21048.310487744777"/>
    <n v="191.31048774477676"/>
    <s v="Vencido"/>
  </r>
  <r>
    <s v="D0018"/>
    <s v="CL0053"/>
    <x v="3"/>
    <x v="5"/>
    <x v="16"/>
    <n v="4.1139447549495486E-2"/>
    <n v="3.3652946016844432E-3"/>
    <n v="6"/>
    <n v="27701"/>
    <d v="2025-03-12T00:00:00"/>
    <n v="28265.0591168104"/>
    <n v="564.05911681040016"/>
    <s v="Vencido"/>
  </r>
  <r>
    <s v="D0019"/>
    <s v="CL0219"/>
    <x v="4"/>
    <x v="1"/>
    <x v="17"/>
    <n v="4.7546247311902309E-2"/>
    <n v="3.8783783545979222E-3"/>
    <n v="6"/>
    <n v="18661"/>
    <d v="2025-12-18T00:00:00"/>
    <n v="19099.478777809945"/>
    <n v="438.47877780994531"/>
    <s v="Vencido"/>
  </r>
  <r>
    <s v="D0020"/>
    <s v="CL0093"/>
    <x v="4"/>
    <x v="4"/>
    <x v="18"/>
    <n v="4.8174068644065163E-2"/>
    <n v="3.9285020924149094E-3"/>
    <n v="6"/>
    <n v="13033"/>
    <d v="2024-11-20T00:00:00"/>
    <n v="13343.233956327998"/>
    <n v="310.23395632799838"/>
    <s v="Vencido"/>
  </r>
  <r>
    <s v="D0021"/>
    <s v="CL0010"/>
    <x v="4"/>
    <x v="7"/>
    <x v="19"/>
    <n v="4.6162855376238737E-2"/>
    <n v="3.7678344249187923E-3"/>
    <n v="6"/>
    <n v="2720"/>
    <d v="2026-07-16T00:00:00"/>
    <n v="2782.0731962361392"/>
    <n v="62.073196236139211"/>
    <s v="Vencido"/>
  </r>
  <r>
    <s v="D0022"/>
    <s v="CL0089"/>
    <x v="2"/>
    <x v="6"/>
    <x v="20"/>
    <n v="6.8377277890434213E-2"/>
    <n v="5.5269621604550068E-3"/>
    <n v="12"/>
    <n v="39107"/>
    <d v="2027-02-27T00:00:00"/>
    <n v="40199.726891358012"/>
    <n v="1092.7268913580119"/>
    <s v="Vigente"/>
  </r>
  <r>
    <s v="D0023"/>
    <s v="CL0020"/>
    <x v="0"/>
    <x v="4"/>
    <x v="21"/>
    <n v="3.9327310633496558E-2"/>
    <n v="3.2196458931013083E-3"/>
    <n v="3"/>
    <n v="9934"/>
    <d v="2026-10-18T00:00:00"/>
    <n v="9934"/>
    <n v="0"/>
    <s v="Vigente"/>
  </r>
  <r>
    <s v="D0024"/>
    <s v="CL0004"/>
    <x v="3"/>
    <x v="6"/>
    <x v="22"/>
    <n v="4.135735152980953E-2"/>
    <n v="3.3827927637264388E-3"/>
    <n v="6"/>
    <n v="40496"/>
    <d v="2025-02-18T00:00:00"/>
    <n v="41324.919996614539"/>
    <n v="828.91999661453883"/>
    <s v="Vencido"/>
  </r>
  <r>
    <s v="D0025"/>
    <s v="CL0071"/>
    <x v="0"/>
    <x v="1"/>
    <x v="23"/>
    <n v="3.6534757414222185E-2"/>
    <n v="2.9947407847439322E-3"/>
    <n v="3"/>
    <n v="9483"/>
    <d v="2023-12-16T00:00:00"/>
    <n v="9568.4527793523575"/>
    <n v="85.452779352357538"/>
    <s v="Vencido"/>
  </r>
  <r>
    <s v="D0026"/>
    <s v="CL0140"/>
    <x v="0"/>
    <x v="7"/>
    <x v="24"/>
    <n v="3.3676635244811771E-2"/>
    <n v="2.7639790414055732E-3"/>
    <n v="3"/>
    <n v="7778"/>
    <d v="2026-07-17T00:00:00"/>
    <n v="7842.6731131526185"/>
    <n v="64.673113152618498"/>
    <s v="Vencido"/>
  </r>
  <r>
    <s v="D0027"/>
    <s v="CL0079"/>
    <x v="3"/>
    <x v="0"/>
    <x v="25"/>
    <n v="3.9937559837143907E-2"/>
    <n v="3.2687200466539057E-3"/>
    <n v="6"/>
    <n v="7905"/>
    <d v="2026-11-24T00:00:00"/>
    <n v="7956.7629251531253"/>
    <n v="51.762925153125252"/>
    <s v="Vigente"/>
  </r>
  <r>
    <s v="D0028"/>
    <s v="CL0169"/>
    <x v="3"/>
    <x v="1"/>
    <x v="26"/>
    <n v="3.3211551505635907E-2"/>
    <n v="2.7263733558156034E-3"/>
    <n v="6"/>
    <n v="1399"/>
    <d v="2026-02-08T00:00:00"/>
    <n v="1422.0417299848775"/>
    <n v="23.04172998487752"/>
    <s v="Vencido"/>
  </r>
  <r>
    <s v="D0029"/>
    <s v="CL0162"/>
    <x v="0"/>
    <x v="4"/>
    <x v="27"/>
    <n v="3.6842203516126978E-2"/>
    <n v="3.0195288994834257E-3"/>
    <n v="3"/>
    <n v="33265"/>
    <d v="2026-10-13T00:00:00"/>
    <n v="33265"/>
    <n v="0"/>
    <s v="Vigente"/>
  </r>
  <r>
    <s v="D0030"/>
    <s v="CL0126"/>
    <x v="3"/>
    <x v="1"/>
    <x v="28"/>
    <n v="3.9107591940598201E-2"/>
    <n v="3.2019704001933214E-3"/>
    <n v="6"/>
    <n v="33536"/>
    <d v="2026-12-19T00:00:00"/>
    <n v="33643.38127934088"/>
    <n v="107.3812793408797"/>
    <s v="Vigente"/>
  </r>
  <r>
    <s v="D0031"/>
    <s v="CL0182"/>
    <x v="4"/>
    <x v="0"/>
    <x v="29"/>
    <n v="4.7252391942197686E-2"/>
    <n v="3.8549081906096294E-3"/>
    <n v="6"/>
    <n v="7764"/>
    <d v="2025-08-06T00:00:00"/>
    <n v="7945.3165966843999"/>
    <n v="181.31659668439988"/>
    <s v="Vencido"/>
  </r>
  <r>
    <s v="D0032"/>
    <s v="CL0067"/>
    <x v="2"/>
    <x v="1"/>
    <x v="30"/>
    <n v="5.5010491308490013E-2"/>
    <n v="4.4725313162872204E-3"/>
    <n v="12"/>
    <n v="2620"/>
    <d v="2027-07-11T00:00:00"/>
    <n v="2631.7180320486727"/>
    <n v="11.71803204867274"/>
    <s v="Vigente"/>
  </r>
  <r>
    <s v="D0033"/>
    <s v="CL0210"/>
    <x v="4"/>
    <x v="5"/>
    <x v="31"/>
    <n v="4.1056486395694834E-2"/>
    <n v="3.3586317587988024E-3"/>
    <n v="6"/>
    <n v="45938"/>
    <d v="2026-06-04T00:00:00"/>
    <n v="46871.5408412826"/>
    <n v="933.54084128260001"/>
    <s v="Vencido"/>
  </r>
  <r>
    <s v="D0034"/>
    <s v="CL0065"/>
    <x v="2"/>
    <x v="6"/>
    <x v="32"/>
    <n v="6.1425066902113454E-2"/>
    <n v="4.9800601460028293E-3"/>
    <n v="12"/>
    <n v="32740"/>
    <d v="2027-06-09T00:00:00"/>
    <n v="33066.906323069416"/>
    <n v="326.90632306941552"/>
    <s v="Vigente"/>
  </r>
  <r>
    <s v="D0035"/>
    <s v="CL0013"/>
    <x v="1"/>
    <x v="6"/>
    <x v="33"/>
    <n v="1.4042146218107603E-2"/>
    <n v="1.1627144808852297E-3"/>
    <n v="0"/>
    <n v="41192"/>
    <s v=""/>
    <n v="42406.219552593153"/>
    <n v="1214.2195525931529"/>
    <s v="Vigente"/>
  </r>
  <r>
    <s v="D0036"/>
    <s v="CL0064"/>
    <x v="1"/>
    <x v="5"/>
    <x v="27"/>
    <n v="7.1059394153573131E-3"/>
    <n v="5.9024172391408669E-4"/>
    <n v="0"/>
    <n v="45062"/>
    <s v=""/>
    <n v="45062"/>
    <n v="0"/>
    <s v="Vigente"/>
  </r>
  <r>
    <s v="D0037"/>
    <s v="CL0213"/>
    <x v="3"/>
    <x v="0"/>
    <x v="34"/>
    <n v="4.1709355846181212E-2"/>
    <n v="3.411052384495239E-3"/>
    <n v="6"/>
    <n v="44446"/>
    <d v="2024-08-17T00:00:00"/>
    <n v="45363.438299744048"/>
    <n v="917.43829974404798"/>
    <s v="Vencido"/>
  </r>
  <r>
    <s v="D0038"/>
    <s v="CL0189"/>
    <x v="1"/>
    <x v="7"/>
    <x v="35"/>
    <n v="1.1764794410002066E-2"/>
    <n v="9.7515242404000446E-4"/>
    <n v="0"/>
    <n v="26194"/>
    <s v=""/>
    <n v="26296.322118307588"/>
    <n v="102.32211830758752"/>
    <s v="Vigente"/>
  </r>
  <r>
    <s v="D0039"/>
    <s v="CL0092"/>
    <x v="0"/>
    <x v="5"/>
    <x v="36"/>
    <n v="3.7942586953468173E-2"/>
    <n v="3.1081931123604356E-3"/>
    <n v="3"/>
    <n v="25839"/>
    <d v="2025-12-27T00:00:00"/>
    <n v="26080.687462607537"/>
    <n v="241.68746260753687"/>
    <s v="Vencido"/>
  </r>
  <r>
    <s v="D0040"/>
    <s v="CL0102"/>
    <x v="1"/>
    <x v="4"/>
    <x v="37"/>
    <n v="8.6545264969632215E-3"/>
    <n v="7.1836546485792852E-4"/>
    <n v="0"/>
    <n v="15027"/>
    <s v=""/>
    <n v="15398.409736377293"/>
    <n v="371.40973637729257"/>
    <s v="Vigente"/>
  </r>
  <r>
    <s v="D0041"/>
    <s v="CL0022"/>
    <x v="1"/>
    <x v="3"/>
    <x v="38"/>
    <n v="1.1873265022685219E-2"/>
    <n v="9.8409480651917569E-4"/>
    <n v="0"/>
    <n v="30025"/>
    <s v=""/>
    <n v="30173.028294006679"/>
    <n v="148.02829400667906"/>
    <s v="Vigente"/>
  </r>
  <r>
    <s v="D0042"/>
    <s v="CL0083"/>
    <x v="2"/>
    <x v="0"/>
    <x v="39"/>
    <n v="6.3614475088870442E-2"/>
    <n v="5.1526452697596703E-3"/>
    <n v="12"/>
    <n v="41982"/>
    <d v="2026-04-29T00:00:00"/>
    <n v="44652.662893180925"/>
    <n v="2670.6628931809246"/>
    <s v="Vencido"/>
  </r>
  <r>
    <s v="D0043"/>
    <s v="CL0081"/>
    <x v="2"/>
    <x v="2"/>
    <x v="40"/>
    <n v="5.8017725701077459E-2"/>
    <n v="4.7108184529194297E-3"/>
    <n v="12"/>
    <n v="30381"/>
    <d v="2025-09-22T00:00:00"/>
    <n v="32143.636524524401"/>
    <n v="1762.6365245244015"/>
    <s v="Vencido"/>
  </r>
  <r>
    <s v="D0044"/>
    <s v="CL0033"/>
    <x v="2"/>
    <x v="5"/>
    <x v="41"/>
    <n v="5.5677259313053187E-2"/>
    <n v="4.525418327401276E-3"/>
    <n v="12"/>
    <n v="45397"/>
    <d v="2025-11-15T00:00:00"/>
    <n v="47924.580541034644"/>
    <n v="2527.5805410346438"/>
    <s v="Vencido"/>
  </r>
  <r>
    <s v="D0045"/>
    <s v="CL0197"/>
    <x v="1"/>
    <x v="6"/>
    <x v="42"/>
    <n v="9.5616504849569042E-3"/>
    <n v="7.9333345790000287E-4"/>
    <n v="0"/>
    <n v="2058"/>
    <s v=""/>
    <n v="2076.0308919318404"/>
    <n v="18.030891931840415"/>
    <s v="Vigente"/>
  </r>
  <r>
    <s v="D0046"/>
    <s v="CL0236"/>
    <x v="2"/>
    <x v="0"/>
    <x v="43"/>
    <n v="5.5916264276446602E-2"/>
    <n v="4.544368378136987E-3"/>
    <n v="12"/>
    <n v="20081"/>
    <d v="2026-07-27T00:00:00"/>
    <n v="21203.85450293533"/>
    <n v="1122.8545029353299"/>
    <s v="Vencido"/>
  </r>
  <r>
    <s v="D0047"/>
    <s v="CL0059"/>
    <x v="1"/>
    <x v="7"/>
    <x v="44"/>
    <n v="5.7583071096844593E-3"/>
    <n v="4.7859711027986584E-4"/>
    <n v="0"/>
    <n v="29476"/>
    <s v=""/>
    <n v="29716.741605963143"/>
    <n v="240.74160596314323"/>
    <s v="Vigente"/>
  </r>
  <r>
    <s v="D0048"/>
    <s v="CL0119"/>
    <x v="3"/>
    <x v="2"/>
    <x v="45"/>
    <n v="3.3801673176931946E-2"/>
    <n v="2.7740866981504908E-3"/>
    <n v="6"/>
    <n v="35610"/>
    <d v="2026-12-23T00:00:00"/>
    <n v="35708.785227321139"/>
    <n v="98.785227321139246"/>
    <s v="Vigente"/>
  </r>
  <r>
    <s v="D0049"/>
    <s v="CL0111"/>
    <x v="2"/>
    <x v="0"/>
    <x v="46"/>
    <n v="5.6601512483028166E-2"/>
    <n v="4.5986780480335998E-3"/>
    <n v="12"/>
    <n v="47760"/>
    <d v="2025-12-16T00:00:00"/>
    <n v="50463.288236189379"/>
    <n v="2703.2882361893789"/>
    <s v="Vencido"/>
  </r>
  <r>
    <s v="D0050"/>
    <s v="CL0102"/>
    <x v="3"/>
    <x v="5"/>
    <x v="47"/>
    <n v="3.4502814563169525E-2"/>
    <n v="2.8307439187955641E-3"/>
    <n v="6"/>
    <n v="14388"/>
    <d v="2025-10-16T00:00:00"/>
    <n v="14634.108391819127"/>
    <n v="246.10839181912706"/>
    <s v="Vencido"/>
  </r>
  <r>
    <s v="D0051"/>
    <s v="CL0061"/>
    <x v="0"/>
    <x v="2"/>
    <x v="48"/>
    <n v="3.4027152725419729E-2"/>
    <n v="2.7923108938989749E-3"/>
    <n v="3"/>
    <n v="19894"/>
    <d v="2026-05-28T00:00:00"/>
    <n v="20061.116472456502"/>
    <n v="167.11647245650238"/>
    <s v="Vencido"/>
  </r>
  <r>
    <s v="D0052"/>
    <s v="CL0125"/>
    <x v="0"/>
    <x v="0"/>
    <x v="49"/>
    <n v="3.4008804653547949E-2"/>
    <n v="2.7908280625097426E-3"/>
    <n v="3"/>
    <n v="24100"/>
    <d v="2026-07-27T00:00:00"/>
    <n v="24302.340517328863"/>
    <n v="202.34051732886292"/>
    <s v="Vencido"/>
  </r>
  <r>
    <s v="D0053"/>
    <s v="CL0058"/>
    <x v="4"/>
    <x v="5"/>
    <x v="50"/>
    <n v="4.0879334700123234E-2"/>
    <n v="3.3444025799462818E-3"/>
    <n v="6"/>
    <n v="9744"/>
    <d v="2026-11-29T00:00:00"/>
    <n v="9809.2847043968359"/>
    <n v="65.284704396835878"/>
    <s v="Vigente"/>
  </r>
  <r>
    <s v="D0054"/>
    <s v="CL0111"/>
    <x v="1"/>
    <x v="1"/>
    <x v="51"/>
    <n v="1.1530263588856067E-2"/>
    <n v="9.558145575816468E-4"/>
    <n v="0"/>
    <n v="37335"/>
    <s v=""/>
    <n v="37335"/>
    <n v="0"/>
    <s v="Vigente"/>
  </r>
  <r>
    <s v="D0055"/>
    <s v="CL0224"/>
    <x v="1"/>
    <x v="6"/>
    <x v="52"/>
    <n v="1.3117963917353082E-2"/>
    <n v="1.0866456848381834E-3"/>
    <n v="0"/>
    <n v="42512"/>
    <s v=""/>
    <n v="42512"/>
    <n v="0"/>
    <s v="Vigente"/>
  </r>
  <r>
    <s v="D0056"/>
    <s v="CL0235"/>
    <x v="3"/>
    <x v="4"/>
    <x v="53"/>
    <n v="3.573130361265929E-2"/>
    <n v="2.9299297745204456E-3"/>
    <n v="6"/>
    <n v="12242"/>
    <d v="2025-04-06T00:00:00"/>
    <n v="12458.791743169568"/>
    <n v="216.79174316956778"/>
    <s v="Vencido"/>
  </r>
  <r>
    <s v="D0057"/>
    <s v="CL0217"/>
    <x v="4"/>
    <x v="6"/>
    <x v="54"/>
    <n v="4.3955370840595177E-2"/>
    <n v="3.5911611821934919E-3"/>
    <n v="6"/>
    <n v="5297"/>
    <d v="2027-01-22T00:00:00"/>
    <n v="5297"/>
    <n v="0"/>
    <s v="Vigente"/>
  </r>
  <r>
    <s v="D0058"/>
    <s v="CL0183"/>
    <x v="3"/>
    <x v="2"/>
    <x v="50"/>
    <n v="3.8872156806324124E-2"/>
    <n v="3.1830267794519251E-3"/>
    <n v="6"/>
    <n v="9239"/>
    <d v="2026-11-29T00:00:00"/>
    <n v="9297.9095752326357"/>
    <n v="58.909575232635689"/>
    <s v="Vigente"/>
  </r>
  <r>
    <s v="D0059"/>
    <s v="CL0146"/>
    <x v="1"/>
    <x v="6"/>
    <x v="55"/>
    <n v="5.1052753174226093E-3"/>
    <n v="4.2444735101287989E-4"/>
    <n v="0"/>
    <n v="31158"/>
    <s v=""/>
    <n v="31250.692476386124"/>
    <n v="92.692476386124326"/>
    <s v="Vigente"/>
  </r>
  <r>
    <s v="D0060"/>
    <s v="CL0040"/>
    <x v="2"/>
    <x v="5"/>
    <x v="35"/>
    <n v="5.9901074580551744E-2"/>
    <n v="4.8597352197257138E-3"/>
    <n v="12"/>
    <n v="39718"/>
    <d v="2027-04-04T00:00:00"/>
    <n v="40495.722236446083"/>
    <n v="777.72223644608312"/>
    <s v="Vigente"/>
  </r>
  <r>
    <s v="D0061"/>
    <s v="CL0136"/>
    <x v="1"/>
    <x v="3"/>
    <x v="56"/>
    <n v="8.5910133739948123E-3"/>
    <n v="7.1311419684549904E-4"/>
    <n v="0"/>
    <n v="43777"/>
    <s v=""/>
    <n v="43902.005636288748"/>
    <n v="125.00563628874806"/>
    <s v="Vigente"/>
  </r>
  <r>
    <s v="D0062"/>
    <s v="CL0123"/>
    <x v="3"/>
    <x v="3"/>
    <x v="57"/>
    <n v="4.2888584096260389E-2"/>
    <n v="3.505659482244905E-3"/>
    <n v="6"/>
    <n v="37144"/>
    <d v="2025-06-28T00:00:00"/>
    <n v="37932.164685364194"/>
    <n v="788.16468536419416"/>
    <s v="Vencido"/>
  </r>
  <r>
    <s v="D0063"/>
    <s v="CL0207"/>
    <x v="2"/>
    <x v="6"/>
    <x v="58"/>
    <n v="5.8431676640361641E-2"/>
    <n v="4.7435704581313409E-3"/>
    <n v="12"/>
    <n v="15942"/>
    <d v="2027-05-11T00:00:00"/>
    <n v="16169.943857195074"/>
    <n v="227.94385719507409"/>
    <s v="Vigente"/>
  </r>
  <r>
    <s v="D0064"/>
    <s v="CL0240"/>
    <x v="0"/>
    <x v="4"/>
    <x v="59"/>
    <n v="3.3906691028777101E-2"/>
    <n v="2.7825751313763636E-3"/>
    <n v="3"/>
    <n v="28956"/>
    <d v="2025-04-22T00:00:00"/>
    <n v="29198.389955340943"/>
    <n v="242.38995534094283"/>
    <s v="Vencido"/>
  </r>
  <r>
    <s v="D0065"/>
    <s v="CL0134"/>
    <x v="2"/>
    <x v="2"/>
    <x v="19"/>
    <n v="5.5563026988845979E-2"/>
    <n v="4.5163597693642643E-3"/>
    <n v="12"/>
    <n v="35389"/>
    <d v="2027-01-16T00:00:00"/>
    <n v="36358.869868837384"/>
    <n v="969.86986883738427"/>
    <s v="Vigente"/>
  </r>
  <r>
    <s v="D0066"/>
    <s v="CL0101"/>
    <x v="4"/>
    <x v="5"/>
    <x v="60"/>
    <n v="4.7133946959408361E-2"/>
    <n v="3.8454463087140844E-3"/>
    <n v="6"/>
    <n v="48940"/>
    <d v="2026-09-02T00:00:00"/>
    <n v="49888.245576325055"/>
    <n v="948.24557632505457"/>
    <s v="Vigente"/>
  </r>
  <r>
    <s v="D0067"/>
    <s v="CL0090"/>
    <x v="0"/>
    <x v="4"/>
    <x v="61"/>
    <n v="3.1420499387155763E-2"/>
    <n v="2.581407588089446E-3"/>
    <n v="3"/>
    <n v="17916"/>
    <d v="2026-07-11T00:00:00"/>
    <n v="18055.10396190286"/>
    <n v="139.10396190285974"/>
    <s v="Vencido"/>
  </r>
  <r>
    <s v="D0068"/>
    <s v="CL0024"/>
    <x v="3"/>
    <x v="0"/>
    <x v="62"/>
    <n v="3.6407317049069784E-2"/>
    <n v="2.9844638163314396E-3"/>
    <n v="6"/>
    <n v="31997"/>
    <d v="2026-10-15T00:00:00"/>
    <n v="32284.337510926656"/>
    <n v="287.33751092665625"/>
    <s v="Vigente"/>
  </r>
  <r>
    <s v="D0069"/>
    <s v="CL0163"/>
    <x v="2"/>
    <x v="5"/>
    <x v="63"/>
    <n v="6.8552187796105987E-2"/>
    <n v="5.5406794924934832E-3"/>
    <n v="12"/>
    <n v="42029"/>
    <d v="2026-06-28T00:00:00"/>
    <n v="44910.17990088254"/>
    <n v="2881.1799008825401"/>
    <s v="Vencido"/>
  </r>
  <r>
    <s v="D0070"/>
    <s v="CL0001"/>
    <x v="0"/>
    <x v="4"/>
    <x v="64"/>
    <n v="3.0151418005524153E-2"/>
    <n v="2.4785498060126976E-3"/>
    <n v="3"/>
    <n v="6706"/>
    <d v="2025-09-23T00:00:00"/>
    <n v="6755.9871561860919"/>
    <n v="49.987156186091852"/>
    <s v="Vencido"/>
  </r>
  <r>
    <s v="D0071"/>
    <s v="CL0095"/>
    <x v="4"/>
    <x v="1"/>
    <x v="65"/>
    <n v="4.0113651326058576E-2"/>
    <n v="3.2828758142715575E-3"/>
    <n v="6"/>
    <n v="25773"/>
    <d v="2027-02-09T00:00:00"/>
    <n v="25773"/>
    <n v="0"/>
    <s v="Vigente"/>
  </r>
  <r>
    <s v="D0072"/>
    <s v="CL0183"/>
    <x v="0"/>
    <x v="7"/>
    <x v="66"/>
    <n v="3.6997006654655745E-2"/>
    <n v="3.0320074896321714E-3"/>
    <n v="3"/>
    <n v="3296"/>
    <d v="2025-09-13T00:00:00"/>
    <n v="3326.0714829987887"/>
    <n v="30.071482998788724"/>
    <s v="Vencido"/>
  </r>
  <r>
    <s v="D0073"/>
    <s v="CL0195"/>
    <x v="4"/>
    <x v="7"/>
    <x v="67"/>
    <n v="4.2208623926011601E-2"/>
    <n v="3.4511196300981428E-3"/>
    <n v="6"/>
    <n v="7781"/>
    <d v="2027-01-24T00:00:00"/>
    <n v="7781"/>
    <n v="0"/>
    <s v="Vigente"/>
  </r>
  <r>
    <s v="D0074"/>
    <s v="CL0127"/>
    <x v="2"/>
    <x v="6"/>
    <x v="36"/>
    <n v="5.7596162408665948E-2"/>
    <n v="4.6774520798873453E-3"/>
    <n v="12"/>
    <n v="33476"/>
    <d v="2026-09-27T00:00:00"/>
    <n v="35075.196635162756"/>
    <n v="1599.1966351627561"/>
    <s v="Vigente"/>
  </r>
  <r>
    <s v="D0075"/>
    <s v="CL0029"/>
    <x v="1"/>
    <x v="0"/>
    <x v="68"/>
    <n v="1.401820117014765E-2"/>
    <n v="1.1607443828998143E-3"/>
    <n v="0"/>
    <n v="551"/>
    <s v=""/>
    <n v="555.49261120650533"/>
    <n v="4.4926112065053303"/>
    <s v="Vigente"/>
  </r>
  <r>
    <s v="D0076"/>
    <s v="CL0008"/>
    <x v="2"/>
    <x v="1"/>
    <x v="69"/>
    <n v="6.0156375151563725E-2"/>
    <n v="4.8799032140649512E-3"/>
    <n v="12"/>
    <n v="16468"/>
    <d v="2026-09-18T00:00:00"/>
    <n v="17289.501277521242"/>
    <n v="821.50127752124172"/>
    <s v="Vigente"/>
  </r>
  <r>
    <s v="D0077"/>
    <s v="CL0164"/>
    <x v="4"/>
    <x v="5"/>
    <x v="70"/>
    <n v="4.6615788798247369E-2"/>
    <n v="3.8040421248510814E-3"/>
    <n v="6"/>
    <n v="34956"/>
    <d v="2026-09-08T00:00:00"/>
    <n v="35625.948152186371"/>
    <n v="669.94815218637086"/>
    <s v="Vigente"/>
  </r>
  <r>
    <s v="D0078"/>
    <s v="CL0094"/>
    <x v="3"/>
    <x v="0"/>
    <x v="71"/>
    <n v="3.4208790890899919E-2"/>
    <n v="2.8069889975415041E-3"/>
    <n v="6"/>
    <n v="16385"/>
    <d v="2026-06-03T00:00:00"/>
    <n v="16662.898858538265"/>
    <n v="277.8988585382649"/>
    <s v="Vencido"/>
  </r>
  <r>
    <s v="D0079"/>
    <s v="CL0026"/>
    <x v="0"/>
    <x v="4"/>
    <x v="72"/>
    <n v="3.4826696399725923E-2"/>
    <n v="2.8569039946715336E-3"/>
    <n v="3"/>
    <n v="16090"/>
    <d v="2026-08-25T00:00:00"/>
    <n v="16182.066495526527"/>
    <n v="92.066495526527433"/>
    <s v="Vigente"/>
  </r>
  <r>
    <s v="D0080"/>
    <s v="CL0246"/>
    <x v="1"/>
    <x v="6"/>
    <x v="73"/>
    <n v="1.1526702307563455E-2"/>
    <n v="9.5552088611028374E-4"/>
    <n v="0"/>
    <n v="14826"/>
    <s v=""/>
    <n v="14896.968257062124"/>
    <n v="70.968257062124394"/>
    <s v="Vigente"/>
  </r>
  <r>
    <s v="D0081"/>
    <s v="CL0240"/>
    <x v="0"/>
    <x v="6"/>
    <x v="74"/>
    <n v="3.5390725568567795E-2"/>
    <n v="2.9024429637172222E-3"/>
    <n v="3"/>
    <n v="34512"/>
    <d v="2024-10-07T00:00:00"/>
    <n v="34813.380383932694"/>
    <n v="301.3803839326938"/>
    <s v="Vencido"/>
  </r>
  <r>
    <s v="D0082"/>
    <s v="CL0014"/>
    <x v="0"/>
    <x v="6"/>
    <x v="75"/>
    <n v="3.1997644613268227E-2"/>
    <n v="2.6281462627288921E-3"/>
    <n v="3"/>
    <n v="38404"/>
    <d v="2026-08-27T00:00:00"/>
    <n v="38606.127920442981"/>
    <n v="202.12792044298112"/>
    <s v="Vigente"/>
  </r>
  <r>
    <s v="D0083"/>
    <s v="CL0015"/>
    <x v="4"/>
    <x v="1"/>
    <x v="76"/>
    <n v="4.2020106434586132E-2"/>
    <n v="3.4359927984664029E-3"/>
    <n v="6"/>
    <n v="33250"/>
    <d v="2027-01-04T00:00:00"/>
    <n v="33364.246760549009"/>
    <n v="114.2467605490092"/>
    <s v="Vigente"/>
  </r>
  <r>
    <s v="D0084"/>
    <s v="CL0039"/>
    <x v="0"/>
    <x v="3"/>
    <x v="41"/>
    <n v="3.5255211679796103E-2"/>
    <n v="2.8915038273951144E-3"/>
    <n v="3"/>
    <n v="12779"/>
    <d v="2025-02-15T00:00:00"/>
    <n v="12890.172418940901"/>
    <n v="111.17241894090148"/>
    <s v="Vencido"/>
  </r>
  <r>
    <s v="D0085"/>
    <s v="CL0102"/>
    <x v="3"/>
    <x v="2"/>
    <x v="77"/>
    <n v="4.4914059070091265E-2"/>
    <n v="3.6679306127234135E-3"/>
    <n v="6"/>
    <n v="2334"/>
    <d v="2024-04-30T00:00:00"/>
    <n v="2385.8390247398579"/>
    <n v="51.839024739857905"/>
    <s v="Vencido"/>
  </r>
  <r>
    <s v="D0086"/>
    <s v="CL0065"/>
    <x v="1"/>
    <x v="1"/>
    <x v="78"/>
    <n v="1.2845304502476378E-2"/>
    <n v="1.064191128387515E-3"/>
    <n v="0"/>
    <n v="38847"/>
    <s v=""/>
    <n v="39054.143575601629"/>
    <n v="207.14357560162898"/>
    <s v="Vigente"/>
  </r>
  <r>
    <s v="D0087"/>
    <s v="CL0069"/>
    <x v="0"/>
    <x v="5"/>
    <x v="79"/>
    <n v="3.1170346197062906E-2"/>
    <n v="2.5611421046356497E-3"/>
    <n v="3"/>
    <n v="35564"/>
    <d v="2025-10-19T00:00:00"/>
    <n v="35837.953811611544"/>
    <n v="273.95381161154364"/>
    <s v="Vencido"/>
  </r>
  <r>
    <s v="D0088"/>
    <s v="CL0088"/>
    <x v="2"/>
    <x v="0"/>
    <x v="80"/>
    <n v="6.0276362346808075E-2"/>
    <n v="4.8893803118059687E-3"/>
    <n v="12"/>
    <n v="32179"/>
    <d v="2024-02-08T00:00:00"/>
    <n v="34118.633063957968"/>
    <n v="1939.6330639579683"/>
    <s v="Vencido"/>
  </r>
  <r>
    <s v="D0089"/>
    <s v="CL0074"/>
    <x v="1"/>
    <x v="7"/>
    <x v="81"/>
    <n v="1.1806902899088352E-2"/>
    <n v="9.7862397753423203E-4"/>
    <n v="0"/>
    <n v="43856"/>
    <s v=""/>
    <n v="44330.420720890819"/>
    <n v="474.42072089081921"/>
    <s v="Vigente"/>
  </r>
  <r>
    <s v="D0090"/>
    <s v="CL0135"/>
    <x v="1"/>
    <x v="1"/>
    <x v="82"/>
    <n v="8.0376923609667538E-3"/>
    <n v="6.6735276127571908E-4"/>
    <n v="0"/>
    <n v="16553"/>
    <s v=""/>
    <n v="16730.634449873349"/>
    <n v="177.63444987334879"/>
    <s v="Vigente"/>
  </r>
  <r>
    <s v="D0091"/>
    <s v="CL0230"/>
    <x v="4"/>
    <x v="1"/>
    <x v="83"/>
    <n v="4.805185258027167E-2"/>
    <n v="3.9187468148764726E-3"/>
    <n v="6"/>
    <n v="30193"/>
    <d v="2025-12-15T00:00:00"/>
    <n v="30909.903698629998"/>
    <n v="716.90369862999796"/>
    <s v="Vencido"/>
  </r>
  <r>
    <s v="D0092"/>
    <s v="CL0100"/>
    <x v="2"/>
    <x v="4"/>
    <x v="3"/>
    <n v="5.987747242469646E-2"/>
    <n v="4.8578704939574724E-3"/>
    <n v="12"/>
    <n v="4763"/>
    <d v="2026-07-29T00:00:00"/>
    <n v="5048.1964011588261"/>
    <n v="285.19640115882612"/>
    <s v="Vencido"/>
  </r>
  <r>
    <s v="D0093"/>
    <s v="CL0015"/>
    <x v="2"/>
    <x v="6"/>
    <x v="84"/>
    <n v="5.7449770250006575E-2"/>
    <n v="4.665862414102051E-3"/>
    <n v="12"/>
    <n v="862"/>
    <d v="2026-10-25T00:00:00"/>
    <n v="898.88074240264814"/>
    <n v="36.880742402648139"/>
    <s v="Vigente"/>
  </r>
  <r>
    <s v="D0094"/>
    <s v="CL0020"/>
    <x v="2"/>
    <x v="0"/>
    <x v="85"/>
    <n v="5.6875666005110626E-2"/>
    <n v="4.6203971725953252E-3"/>
    <n v="12"/>
    <n v="39372"/>
    <d v="2027-07-31T00:00:00"/>
    <n v="39372"/>
    <n v="0"/>
    <s v="Vigente"/>
  </r>
  <r>
    <s v="D0095"/>
    <s v="CL0060"/>
    <x v="0"/>
    <x v="0"/>
    <x v="86"/>
    <n v="3.1776779950336141E-2"/>
    <n v="2.6102629166555591E-3"/>
    <n v="3"/>
    <n v="10363"/>
    <d v="2022-11-26T00:00:00"/>
    <n v="10444.362472167757"/>
    <n v="81.362472167757005"/>
    <s v="Vencido"/>
  </r>
  <r>
    <s v="D0096"/>
    <s v="CL0163"/>
    <x v="2"/>
    <x v="5"/>
    <x v="87"/>
    <n v="6.1594567608570343E-2"/>
    <n v="4.9934330764835888E-3"/>
    <n v="12"/>
    <n v="36746"/>
    <d v="2026-01-08T00:00:00"/>
    <n v="39009.353981344502"/>
    <n v="2263.3539813445022"/>
    <s v="Vencido"/>
  </r>
  <r>
    <s v="D0097"/>
    <s v="CL0075"/>
    <x v="2"/>
    <x v="5"/>
    <x v="88"/>
    <n v="5.7999265137892914E-2"/>
    <n v="4.7093575703476276E-3"/>
    <n v="12"/>
    <n v="10184"/>
    <d v="2027-06-05T00:00:00"/>
    <n v="10280.146056241059"/>
    <n v="96.146056241059341"/>
    <s v="Vigente"/>
  </r>
  <r>
    <s v="D0098"/>
    <s v="CL0070"/>
    <x v="1"/>
    <x v="5"/>
    <x v="89"/>
    <n v="1.0272746723225333E-2"/>
    <n v="8.5205785004438539E-4"/>
    <n v="0"/>
    <n v="21815"/>
    <s v=""/>
    <n v="22152.011778081971"/>
    <n v="337.01177808197099"/>
    <s v="Vigente"/>
  </r>
  <r>
    <s v="D0099"/>
    <s v="CL0162"/>
    <x v="0"/>
    <x v="2"/>
    <x v="72"/>
    <n v="3.346367985049313E-2"/>
    <n v="2.7467618448990816E-3"/>
    <n v="3"/>
    <n v="24816"/>
    <d v="2026-08-25T00:00:00"/>
    <n v="24952.514513176931"/>
    <n v="136.51451317693136"/>
    <s v="Vigente"/>
  </r>
  <r>
    <s v="D0100"/>
    <s v="CL0159"/>
    <x v="4"/>
    <x v="3"/>
    <x v="90"/>
    <n v="4.9466703575784775E-2"/>
    <n v="4.0316163367293267E-3"/>
    <n v="6"/>
    <n v="39046"/>
    <d v="2026-11-23T00:00:00"/>
    <n v="39361.471633929839"/>
    <n v="315.4716339298393"/>
    <s v="Vigente"/>
  </r>
  <r>
    <s v="D0101"/>
    <s v="CL0038"/>
    <x v="3"/>
    <x v="2"/>
    <x v="91"/>
    <n v="4.4442338132743772E-2"/>
    <n v="3.6301644152727519E-3"/>
    <n v="6"/>
    <n v="3863"/>
    <d v="2026-09-20T00:00:00"/>
    <n v="3919.39948227378"/>
    <n v="56.399482273779995"/>
    <s v="Vigente"/>
  </r>
  <r>
    <s v="D0102"/>
    <s v="CL0035"/>
    <x v="2"/>
    <x v="3"/>
    <x v="92"/>
    <n v="6.5979694671544492E-2"/>
    <n v="5.338723583240057E-3"/>
    <n v="12"/>
    <n v="24563"/>
    <d v="2027-07-19T00:00:00"/>
    <n v="24563"/>
    <n v="0"/>
    <s v="Vigente"/>
  </r>
  <r>
    <s v="D0103"/>
    <s v="CL0193"/>
    <x v="4"/>
    <x v="6"/>
    <x v="93"/>
    <n v="4.3249804808793438E-2"/>
    <n v="3.5346198702852494E-3"/>
    <n v="6"/>
    <n v="33291"/>
    <d v="2027-01-21T00:00:00"/>
    <n v="33291"/>
    <n v="0"/>
    <s v="Vigente"/>
  </r>
  <r>
    <s v="D0104"/>
    <s v="CL0039"/>
    <x v="4"/>
    <x v="6"/>
    <x v="94"/>
    <n v="4.9058956473962446E-2"/>
    <n v="3.9991026879062641E-3"/>
    <n v="6"/>
    <n v="26764"/>
    <d v="2025-10-07T00:00:00"/>
    <n v="27412.64672219475"/>
    <n v="648.6467221947496"/>
    <s v="Vencido"/>
  </r>
  <r>
    <s v="D0105"/>
    <s v="CL0021"/>
    <x v="4"/>
    <x v="1"/>
    <x v="95"/>
    <n v="4.8070990128195872E-2"/>
    <n v="3.9202744414508217E-3"/>
    <n v="6"/>
    <n v="37482"/>
    <d v="2026-09-24T00:00:00"/>
    <n v="38073.224212642031"/>
    <n v="591.22421264203149"/>
    <s v="Vigente"/>
  </r>
  <r>
    <s v="D0106"/>
    <s v="CL0183"/>
    <x v="2"/>
    <x v="7"/>
    <x v="96"/>
    <n v="6.7583283422623874E-2"/>
    <n v="5.4646671470530706E-3"/>
    <n v="12"/>
    <n v="11423"/>
    <d v="2026-11-13T00:00:00"/>
    <n v="11932.039618156976"/>
    <n v="509.03961815697585"/>
    <s v="Vigente"/>
  </r>
  <r>
    <s v="D0107"/>
    <s v="CL0053"/>
    <x v="2"/>
    <x v="1"/>
    <x v="97"/>
    <n v="5.7098504275901775E-2"/>
    <n v="4.638047170612225E-3"/>
    <n v="12"/>
    <n v="28436"/>
    <d v="2025-10-26T00:00:00"/>
    <n v="30059.65306758957"/>
    <n v="1623.6530675895701"/>
    <s v="Vencido"/>
  </r>
  <r>
    <s v="D0108"/>
    <s v="CL0004"/>
    <x v="1"/>
    <x v="6"/>
    <x v="98"/>
    <n v="8.9789968833867799E-3"/>
    <n v="7.4518796303979506E-4"/>
    <n v="0"/>
    <n v="12881"/>
    <s v=""/>
    <n v="12996.658458854901"/>
    <n v="115.65845885490126"/>
    <s v="Vigente"/>
  </r>
  <r>
    <s v="D0109"/>
    <s v="CL0022"/>
    <x v="3"/>
    <x v="2"/>
    <x v="99"/>
    <n v="3.8180981581186109E-2"/>
    <n v="3.1273905802771118E-3"/>
    <n v="6"/>
    <n v="8994"/>
    <d v="2023-08-26T00:00:00"/>
    <n v="9164.0915172525729"/>
    <n v="170.09151725257288"/>
    <s v="Vencido"/>
  </r>
  <r>
    <s v="D0110"/>
    <s v="CL0166"/>
    <x v="4"/>
    <x v="6"/>
    <x v="100"/>
    <n v="4.3852789545011914E-2"/>
    <n v="3.5829428935862939E-3"/>
    <n v="6"/>
    <n v="26527"/>
    <d v="2024-11-08T00:00:00"/>
    <n v="27102.40092258446"/>
    <n v="575.4009225844602"/>
    <s v="Vencido"/>
  </r>
  <r>
    <s v="D0111"/>
    <s v="CL0232"/>
    <x v="2"/>
    <x v="3"/>
    <x v="101"/>
    <n v="6.7970050405162588E-2"/>
    <n v="5.4950173145908998E-3"/>
    <n v="12"/>
    <n v="21084"/>
    <d v="2025-11-04T00:00:00"/>
    <n v="22517.08054274246"/>
    <n v="1433.0805427424602"/>
    <s v="Vencido"/>
  </r>
  <r>
    <s v="D0112"/>
    <s v="CL0185"/>
    <x v="3"/>
    <x v="7"/>
    <x v="102"/>
    <n v="4.4912067449050352E-2"/>
    <n v="3.667771195472902E-3"/>
    <n v="6"/>
    <n v="23865"/>
    <d v="2025-11-17T00:00:00"/>
    <n v="24395.027447740504"/>
    <n v="530.0274477405037"/>
    <s v="Vencido"/>
  </r>
  <r>
    <s v="D0113"/>
    <s v="CL0210"/>
    <x v="4"/>
    <x v="6"/>
    <x v="103"/>
    <n v="4.2880242701978093E-2"/>
    <n v="3.5049906134907438E-3"/>
    <n v="6"/>
    <n v="45046"/>
    <d v="2026-12-26T00:00:00"/>
    <n v="45203.885807175306"/>
    <n v="157.88580717530567"/>
    <s v="Vigente"/>
  </r>
  <r>
    <s v="D0114"/>
    <s v="CL0164"/>
    <x v="2"/>
    <x v="2"/>
    <x v="104"/>
    <n v="5.692470293318215E-2"/>
    <n v="4.624281455624546E-3"/>
    <n v="12"/>
    <n v="26039"/>
    <d v="2027-02-09T00:00:00"/>
    <n v="26769.873926913671"/>
    <n v="730.87392691367131"/>
    <s v="Vigente"/>
  </r>
  <r>
    <s v="D0115"/>
    <s v="CL0156"/>
    <x v="4"/>
    <x v="7"/>
    <x v="105"/>
    <n v="4.4797123201788761E-2"/>
    <n v="3.6585701298981199E-3"/>
    <n v="6"/>
    <n v="28005"/>
    <d v="2025-02-13T00:00:00"/>
    <n v="28625.399803402324"/>
    <n v="620.39980340232432"/>
    <s v="Vencido"/>
  </r>
  <r>
    <s v="D0116"/>
    <s v="CL0167"/>
    <x v="4"/>
    <x v="1"/>
    <x v="52"/>
    <n v="4.9285576266556941E-2"/>
    <n v="4.0171747214772235E-3"/>
    <n v="6"/>
    <n v="537"/>
    <d v="2027-01-27T00:00:00"/>
    <n v="537"/>
    <n v="0"/>
    <s v="Vigente"/>
  </r>
  <r>
    <s v="D0117"/>
    <s v="CL0130"/>
    <x v="0"/>
    <x v="5"/>
    <x v="106"/>
    <n v="3.0159135436354765E-2"/>
    <n v="2.4791756470434745E-3"/>
    <n v="3"/>
    <n v="10791"/>
    <d v="2025-08-19T00:00:00"/>
    <n v="10871.457492207475"/>
    <n v="80.457492207475298"/>
    <s v="Vencido"/>
  </r>
  <r>
    <s v="D0118"/>
    <s v="CL0107"/>
    <x v="1"/>
    <x v="2"/>
    <x v="107"/>
    <n v="8.7909513012199396E-3"/>
    <n v="7.296440494319878E-4"/>
    <n v="0"/>
    <n v="3356"/>
    <s v=""/>
    <n v="3356"/>
    <n v="0"/>
    <s v="Vigente"/>
  </r>
  <r>
    <s v="D0119"/>
    <s v="CL0144"/>
    <x v="1"/>
    <x v="7"/>
    <x v="108"/>
    <n v="1.0083824899793203E-2"/>
    <n v="8.3645983419944336E-4"/>
    <n v="0"/>
    <n v="20476"/>
    <s v=""/>
    <n v="20510.269029471787"/>
    <n v="34.26902947178678"/>
    <s v="Vigente"/>
  </r>
  <r>
    <s v="D0120"/>
    <s v="CL0183"/>
    <x v="1"/>
    <x v="5"/>
    <x v="109"/>
    <n v="1.0248900870910708E-2"/>
    <n v="8.5008920439633151E-4"/>
    <n v="0"/>
    <n v="26267"/>
    <s v=""/>
    <n v="26401.260810088606"/>
    <n v="134.26081008860638"/>
    <s v="Vigente"/>
  </r>
  <r>
    <s v="D0121"/>
    <s v="CL0133"/>
    <x v="3"/>
    <x v="0"/>
    <x v="110"/>
    <n v="3.8747455946557978E-2"/>
    <n v="3.1729914839611073E-3"/>
    <n v="6"/>
    <n v="23018"/>
    <d v="2024-05-13T00:00:00"/>
    <n v="23459.706384424928"/>
    <n v="441.70638442492782"/>
    <s v="Vencido"/>
  </r>
  <r>
    <s v="D0122"/>
    <s v="CL0070"/>
    <x v="3"/>
    <x v="6"/>
    <x v="111"/>
    <n v="3.8681214241063279E-2"/>
    <n v="3.167660236871761E-3"/>
    <n v="6"/>
    <n v="9478"/>
    <d v="2025-09-26T00:00:00"/>
    <n v="9659.5710856854766"/>
    <n v="181.57108568547665"/>
    <s v="Vencido"/>
  </r>
  <r>
    <s v="D0123"/>
    <s v="CL0003"/>
    <x v="0"/>
    <x v="5"/>
    <x v="112"/>
    <n v="3.1937003137657217E-2"/>
    <n v="2.6232364899079208E-3"/>
    <n v="3"/>
    <n v="32353"/>
    <d v="2025-06-19T00:00:00"/>
    <n v="32608.277193352827"/>
    <n v="255.27719335282745"/>
    <s v="Vencido"/>
  </r>
  <r>
    <s v="D0124"/>
    <s v="CL0229"/>
    <x v="1"/>
    <x v="0"/>
    <x v="20"/>
    <n v="1.2947067260029668E-2"/>
    <n v="1.0725723327440484E-3"/>
    <n v="0"/>
    <n v="10466"/>
    <s v=""/>
    <n v="10522.248241439747"/>
    <n v="56.248241439747289"/>
    <s v="Vigente"/>
  </r>
  <r>
    <s v="D0125"/>
    <s v="CL0079"/>
    <x v="2"/>
    <x v="7"/>
    <x v="113"/>
    <n v="6.3219582072532532E-2"/>
    <n v="5.121541007712338E-3"/>
    <n v="12"/>
    <n v="626"/>
    <d v="2027-01-20T00:00:00"/>
    <n v="645.48449783419005"/>
    <n v="19.484497834190051"/>
    <s v="Vigente"/>
  </r>
  <r>
    <s v="D0126"/>
    <s v="CL0159"/>
    <x v="0"/>
    <x v="6"/>
    <x v="78"/>
    <n v="3.8808244737898179E-2"/>
    <n v="3.1778835968696573E-3"/>
    <n v="3"/>
    <n v="29214"/>
    <d v="2026-05-18T00:00:00"/>
    <n v="29493.402103433262"/>
    <n v="279.4021034332618"/>
    <s v="Vencido"/>
  </r>
  <r>
    <s v="D0127"/>
    <s v="CL0032"/>
    <x v="0"/>
    <x v="4"/>
    <x v="114"/>
    <n v="3.1551567953882975E-2"/>
    <n v="2.5920239544887647E-3"/>
    <n v="3"/>
    <n v="11473"/>
    <d v="2024-06-24T00:00:00"/>
    <n v="11562.446319375469"/>
    <n v="89.446319375469102"/>
    <s v="Vencido"/>
  </r>
  <r>
    <s v="D0128"/>
    <s v="CL0053"/>
    <x v="4"/>
    <x v="2"/>
    <x v="115"/>
    <n v="4.3791279648816191E-2"/>
    <n v="3.5780146803272572E-3"/>
    <n v="6"/>
    <n v="33216"/>
    <d v="2024-12-26T00:00:00"/>
    <n v="33935.493088301773"/>
    <n v="719.49308830177324"/>
    <s v="Vencido"/>
  </r>
  <r>
    <s v="D0129"/>
    <s v="CL0057"/>
    <x v="1"/>
    <x v="1"/>
    <x v="116"/>
    <n v="5.8337914890782402E-3"/>
    <n v="4.8485423883692924E-4"/>
    <n v="0"/>
    <n v="46971"/>
    <s v=""/>
    <n v="47039.355397051011"/>
    <n v="68.355397051011096"/>
    <s v="Vigente"/>
  </r>
  <r>
    <s v="D0130"/>
    <s v="CL0147"/>
    <x v="1"/>
    <x v="3"/>
    <x v="117"/>
    <n v="7.9670040461792702E-3"/>
    <n v="6.6150495064487558E-4"/>
    <n v="0"/>
    <n v="49388"/>
    <s v=""/>
    <n v="49420.670406502446"/>
    <n v="32.670406502445985"/>
    <s v="Vigente"/>
  </r>
  <r>
    <s v="D0131"/>
    <s v="CL0154"/>
    <x v="2"/>
    <x v="0"/>
    <x v="118"/>
    <n v="5.9633515920940496E-2"/>
    <n v="4.838594092940296E-3"/>
    <n v="12"/>
    <n v="15801"/>
    <d v="2024-07-08T00:00:00"/>
    <n v="16743.269185066787"/>
    <n v="942.26918506678703"/>
    <s v="Vencido"/>
  </r>
  <r>
    <s v="D0132"/>
    <s v="CL0041"/>
    <x v="3"/>
    <x v="3"/>
    <x v="119"/>
    <n v="4.2414078805569813E-2"/>
    <n v="3.4676026786117919E-3"/>
    <n v="6"/>
    <n v="3735"/>
    <d v="2026-11-18T00:00:00"/>
    <n v="3760.9479026514682"/>
    <n v="25.947902651468212"/>
    <s v="Vigente"/>
  </r>
  <r>
    <s v="D0133"/>
    <s v="CL0235"/>
    <x v="1"/>
    <x v="0"/>
    <x v="120"/>
    <n v="6.3708461756394417E-3"/>
    <n v="5.2935990469582528E-4"/>
    <n v="0"/>
    <n v="39630"/>
    <s v=""/>
    <n v="40157.808444185881"/>
    <n v="527.80844418588094"/>
    <s v="Vigente"/>
  </r>
  <r>
    <s v="D0134"/>
    <s v="CL0222"/>
    <x v="3"/>
    <x v="1"/>
    <x v="121"/>
    <n v="3.0115540358697009E-2"/>
    <n v="2.4756402705092828E-3"/>
    <n v="6"/>
    <n v="37003"/>
    <d v="2026-10-16T00:00:00"/>
    <n v="37278.499263600344"/>
    <n v="275.49926360034442"/>
    <s v="Vigente"/>
  </r>
  <r>
    <s v="D0135"/>
    <s v="CL0244"/>
    <x v="3"/>
    <x v="3"/>
    <x v="122"/>
    <n v="3.0844320059261299E-2"/>
    <n v="2.5347232145327414E-3"/>
    <n v="6"/>
    <n v="15767"/>
    <d v="2026-12-08T00:00:00"/>
    <n v="15847.031262011991"/>
    <n v="80.031262011991203"/>
    <s v="Vigente"/>
  </r>
  <r>
    <s v="D0136"/>
    <s v="CL0160"/>
    <x v="2"/>
    <x v="6"/>
    <x v="123"/>
    <n v="6.0580347415255566E-2"/>
    <n v="4.9133859425183335E-3"/>
    <n v="12"/>
    <n v="29110"/>
    <d v="2027-01-30T00:00:00"/>
    <n v="29978.782627300661"/>
    <n v="868.78262730066126"/>
    <s v="Vigente"/>
  </r>
  <r>
    <s v="D0137"/>
    <s v="CL0250"/>
    <x v="2"/>
    <x v="7"/>
    <x v="124"/>
    <n v="5.6224889785808807E-2"/>
    <n v="4.5688326359754061E-3"/>
    <n v="12"/>
    <n v="12294"/>
    <d v="2026-12-19T00:00:00"/>
    <n v="12692.615008008772"/>
    <n v="398.61500800877184"/>
    <s v="Vigente"/>
  </r>
  <r>
    <s v="D0138"/>
    <s v="CL0164"/>
    <x v="1"/>
    <x v="7"/>
    <x v="125"/>
    <n v="1.1305740432781309E-2"/>
    <n v="9.3729800620279136E-4"/>
    <n v="0"/>
    <n v="4951"/>
    <s v=""/>
    <n v="4997.6018458599428"/>
    <n v="46.601845859942841"/>
    <s v="Vigente"/>
  </r>
  <r>
    <s v="D0139"/>
    <s v="CL0065"/>
    <x v="4"/>
    <x v="3"/>
    <x v="126"/>
    <n v="4.7956343343980828E-2"/>
    <n v="3.9111225485080059E-3"/>
    <n v="6"/>
    <n v="35163"/>
    <d v="2025-10-21T00:00:00"/>
    <n v="35996.271273925289"/>
    <n v="833.27127392528928"/>
    <s v="Vencido"/>
  </r>
  <r>
    <s v="D0140"/>
    <s v="CL0112"/>
    <x v="1"/>
    <x v="7"/>
    <x v="127"/>
    <n v="8.4568433959814962E-3"/>
    <n v="7.0202002010733011E-4"/>
    <n v="0"/>
    <n v="28297"/>
    <s v=""/>
    <n v="28476.288411945534"/>
    <n v="179.28841194553388"/>
    <s v="Vigente"/>
  </r>
  <r>
    <s v="D0141"/>
    <s v="CL0135"/>
    <x v="3"/>
    <x v="2"/>
    <x v="128"/>
    <n v="3.290194064876821E-2"/>
    <n v="2.7013302738534417E-3"/>
    <n v="6"/>
    <n v="41086"/>
    <d v="2025-05-21T00:00:00"/>
    <n v="41756.434546771183"/>
    <n v="670.4345467711828"/>
    <s v="Vencido"/>
  </r>
  <r>
    <s v="D0142"/>
    <s v="CL0206"/>
    <x v="4"/>
    <x v="0"/>
    <x v="129"/>
    <n v="4.9997922579207509E-2"/>
    <n v="4.0739582371123184E-3"/>
    <n v="6"/>
    <n v="28344"/>
    <d v="2025-04-18T00:00:00"/>
    <n v="29043.928519345158"/>
    <n v="699.92851934515784"/>
    <s v="Vencido"/>
  </r>
  <r>
    <s v="D0143"/>
    <s v="CL0250"/>
    <x v="0"/>
    <x v="5"/>
    <x v="130"/>
    <n v="3.6179727889869492E-2"/>
    <n v="2.9661078279008546E-3"/>
    <n v="3"/>
    <n v="16052"/>
    <d v="2025-08-15T00:00:00"/>
    <n v="16195.259974087876"/>
    <n v="143.25997408787589"/>
    <s v="Vencido"/>
  </r>
  <r>
    <s v="D0144"/>
    <s v="CL0013"/>
    <x v="0"/>
    <x v="6"/>
    <x v="131"/>
    <n v="3.5906941993289469E-2"/>
    <n v="2.9441016691635902E-3"/>
    <n v="3"/>
    <n v="48821"/>
    <d v="2024-02-12T00:00:00"/>
    <n v="49253.472711037117"/>
    <n v="432.47271103711682"/>
    <s v="Vencido"/>
  </r>
  <r>
    <s v="D0145"/>
    <s v="CL0077"/>
    <x v="1"/>
    <x v="0"/>
    <x v="132"/>
    <n v="6.0177919570149696E-3"/>
    <n v="5.0010479098361316E-4"/>
    <n v="0"/>
    <n v="4147"/>
    <s v=""/>
    <n v="4199.1607158900115"/>
    <n v="52.160715890011488"/>
    <s v="Vigente"/>
  </r>
  <r>
    <s v="D0146"/>
    <s v="CL0151"/>
    <x v="4"/>
    <x v="1"/>
    <x v="133"/>
    <n v="4.1070524943823183E-2"/>
    <n v="3.3597592681742228E-3"/>
    <n v="6"/>
    <n v="26253"/>
    <d v="2024-02-22T00:00:00"/>
    <n v="26786.687674503864"/>
    <n v="533.6876745038644"/>
    <s v="Vencido"/>
  </r>
  <r>
    <s v="D0147"/>
    <s v="CL0087"/>
    <x v="0"/>
    <x v="1"/>
    <x v="134"/>
    <n v="3.7688540039986493E-2"/>
    <n v="3.0877307463923476E-3"/>
    <n v="3"/>
    <n v="20030"/>
    <d v="2026-01-13T00:00:00"/>
    <n v="20216.115233144421"/>
    <n v="186.11523314442093"/>
    <s v="Vencido"/>
  </r>
  <r>
    <s v="D0148"/>
    <s v="CL0231"/>
    <x v="4"/>
    <x v="3"/>
    <x v="135"/>
    <n v="4.4086735981437274E-2"/>
    <n v="3.6016844043362806E-3"/>
    <n v="6"/>
    <n v="22056"/>
    <d v="2023-05-01T00:00:00"/>
    <n v="22536.944872552664"/>
    <n v="480.94487255266358"/>
    <s v="Vencido"/>
  </r>
  <r>
    <s v="D0149"/>
    <s v="CL0040"/>
    <x v="2"/>
    <x v="0"/>
    <x v="136"/>
    <n v="6.6853146437943198E-2"/>
    <n v="5.4073447525762042E-3"/>
    <n v="12"/>
    <n v="6622"/>
    <d v="2027-05-03T00:00:00"/>
    <n v="6730.0042273107465"/>
    <n v="108.0042273107465"/>
    <s v="Vigente"/>
  </r>
  <r>
    <s v="D0150"/>
    <s v="CL0120"/>
    <x v="1"/>
    <x v="0"/>
    <x v="137"/>
    <n v="5.9470155521627165E-3"/>
    <n v="4.942389169340089E-4"/>
    <n v="0"/>
    <n v="30734"/>
    <s v=""/>
    <n v="30749.189938873049"/>
    <n v="15.189938873048959"/>
    <s v="Vigente"/>
  </r>
  <r>
    <s v="D0151"/>
    <s v="CL0060"/>
    <x v="0"/>
    <x v="3"/>
    <x v="138"/>
    <n v="3.6999163506726433E-2"/>
    <n v="3.0321813401501529E-3"/>
    <n v="3"/>
    <n v="26323"/>
    <d v="2024-05-13T00:00:00"/>
    <n v="26563.175112842349"/>
    <n v="240.17511284234934"/>
    <s v="Vencido"/>
  </r>
  <r>
    <s v="D0152"/>
    <s v="CL0179"/>
    <x v="2"/>
    <x v="2"/>
    <x v="139"/>
    <n v="5.7946075956741401E-2"/>
    <n v="4.705148296833217E-3"/>
    <n v="12"/>
    <n v="26633"/>
    <d v="2027-06-29T00:00:00"/>
    <n v="26758.312214589558"/>
    <n v="125.3122145895577"/>
    <s v="Vigente"/>
  </r>
  <r>
    <s v="D0153"/>
    <s v="CL0118"/>
    <x v="1"/>
    <x v="6"/>
    <x v="2"/>
    <n v="5.5221096549000273E-3"/>
    <n v="4.5901520740221358E-4"/>
    <n v="0"/>
    <n v="18559"/>
    <s v=""/>
    <n v="18576.04163675613"/>
    <n v="17.041636756130174"/>
    <s v="Vigente"/>
  </r>
  <r>
    <s v="D0154"/>
    <s v="CL0011"/>
    <x v="0"/>
    <x v="1"/>
    <x v="140"/>
    <n v="3.70124084810989E-2"/>
    <n v="3.0332489284241593E-3"/>
    <n v="3"/>
    <n v="27170"/>
    <d v="2025-05-20T00:00:00"/>
    <n v="27417.990819237781"/>
    <n v="247.99081923778067"/>
    <s v="Vencido"/>
  </r>
  <r>
    <s v="D0155"/>
    <s v="CL0004"/>
    <x v="2"/>
    <x v="6"/>
    <x v="141"/>
    <n v="6.359139338126138E-2"/>
    <n v="5.1508275003540049E-3"/>
    <n v="12"/>
    <n v="27093"/>
    <d v="2026-05-24T00:00:00"/>
    <n v="28815.881620878496"/>
    <n v="1722.8816208784956"/>
    <s v="Vencido"/>
  </r>
  <r>
    <s v="D0156"/>
    <s v="CL0197"/>
    <x v="3"/>
    <x v="0"/>
    <x v="142"/>
    <n v="3.787141370947629E-2"/>
    <n v="3.1024608823218003E-3"/>
    <n v="6"/>
    <n v="15340"/>
    <d v="2026-05-23T00:00:00"/>
    <n v="15627.774455753253"/>
    <n v="287.77445575325328"/>
    <s v="Vencido"/>
  </r>
  <r>
    <s v="D0157"/>
    <s v="CL0105"/>
    <x v="0"/>
    <x v="5"/>
    <x v="143"/>
    <n v="3.1267519829710808E-2"/>
    <n v="2.5690148986334815E-3"/>
    <n v="3"/>
    <n v="22054"/>
    <d v="2026-09-21T00:00:00"/>
    <n v="22110.657054574462"/>
    <n v="56.657054574461654"/>
    <s v="Vigente"/>
  </r>
  <r>
    <s v="D0158"/>
    <s v="CL0039"/>
    <x v="4"/>
    <x v="3"/>
    <x v="144"/>
    <n v="4.567959957289109E-2"/>
    <n v="3.7291868919508975E-3"/>
    <n v="6"/>
    <n v="38641"/>
    <d v="2026-01-21T00:00:00"/>
    <n v="39513.697865874274"/>
    <n v="872.6978658742737"/>
    <s v="Vencido"/>
  </r>
  <r>
    <s v="D0159"/>
    <s v="CL0184"/>
    <x v="2"/>
    <x v="3"/>
    <x v="65"/>
    <n v="5.5284080372250022E-2"/>
    <n v="4.4942356850887766E-3"/>
    <n v="12"/>
    <n v="43999"/>
    <d v="2027-08-09T00:00:00"/>
    <n v="43999"/>
    <n v="0"/>
    <s v="Vigente"/>
  </r>
  <r>
    <s v="D0160"/>
    <s v="CL0033"/>
    <x v="3"/>
    <x v="1"/>
    <x v="145"/>
    <n v="3.8605957600760833E-2"/>
    <n v="3.1616030740406753E-3"/>
    <n v="6"/>
    <n v="30736"/>
    <d v="2024-03-11T00:00:00"/>
    <n v="31323.678098543023"/>
    <n v="587.67809854302322"/>
    <s v="Vencido"/>
  </r>
  <r>
    <s v="D0161"/>
    <s v="CL0090"/>
    <x v="3"/>
    <x v="4"/>
    <x v="146"/>
    <n v="4.2691557930378633E-2"/>
    <n v="3.4898592969148101E-3"/>
    <n v="6"/>
    <n v="39699"/>
    <d v="2026-11-13T00:00:00"/>
    <n v="39976.571347258439"/>
    <n v="277.57134725843935"/>
    <s v="Vigente"/>
  </r>
  <r>
    <s v="D0162"/>
    <s v="CL0159"/>
    <x v="4"/>
    <x v="3"/>
    <x v="147"/>
    <n v="4.0914173482177421E-2"/>
    <n v="3.3472010760171589E-3"/>
    <n v="6"/>
    <n v="31581"/>
    <d v="2026-09-30T00:00:00"/>
    <n v="32005.95952472333"/>
    <n v="424.95952472333011"/>
    <s v="Vigente"/>
  </r>
  <r>
    <s v="D0163"/>
    <s v="CL0165"/>
    <x v="0"/>
    <x v="1"/>
    <x v="58"/>
    <n v="3.8458682890315933E-2"/>
    <n v="3.1497482462361504E-3"/>
    <n v="3"/>
    <n v="37022"/>
    <d v="2026-08-11T00:00:00"/>
    <n v="37372.932971830007"/>
    <n v="350.93297183000686"/>
    <s v="Vigente"/>
  </r>
  <r>
    <s v="D0164"/>
    <s v="CL0204"/>
    <x v="1"/>
    <x v="1"/>
    <x v="148"/>
    <n v="1.4241042040361061E-2"/>
    <n v="1.1790771458166649E-3"/>
    <n v="0"/>
    <n v="4660"/>
    <s v=""/>
    <n v="4682.0168991940718"/>
    <n v="22.016899194071812"/>
    <s v="Vigente"/>
  </r>
  <r>
    <s v="D0165"/>
    <s v="CL0082"/>
    <x v="2"/>
    <x v="6"/>
    <x v="149"/>
    <n v="6.1137165541472388E-2"/>
    <n v="4.9573413886372375E-3"/>
    <n v="12"/>
    <n v="18322"/>
    <d v="2024-08-03T00:00:00"/>
    <n v="19442.15514705086"/>
    <n v="1120.1551470508603"/>
    <s v="Vencido"/>
  </r>
  <r>
    <s v="D0166"/>
    <s v="CL0125"/>
    <x v="2"/>
    <x v="3"/>
    <x v="150"/>
    <n v="6.4216665661647521E-2"/>
    <n v="5.2000572195110006E-3"/>
    <n v="12"/>
    <n v="16153"/>
    <d v="2026-12-23T00:00:00"/>
    <n v="16750.228101984416"/>
    <n v="597.22810198441584"/>
    <s v="Vigente"/>
  </r>
  <r>
    <s v="D0167"/>
    <s v="CL0236"/>
    <x v="1"/>
    <x v="1"/>
    <x v="151"/>
    <n v="1.2868183025086282E-2"/>
    <n v="1.0660754760858371E-3"/>
    <n v="0"/>
    <n v="32364"/>
    <s v=""/>
    <n v="32920.475370717817"/>
    <n v="556.47537071781699"/>
    <s v="Vigente"/>
  </r>
  <r>
    <s v="D0168"/>
    <s v="CL0135"/>
    <x v="2"/>
    <x v="0"/>
    <x v="152"/>
    <n v="6.2923125603833174E-2"/>
    <n v="5.0981832684264816E-3"/>
    <n v="12"/>
    <n v="30012"/>
    <d v="2027-06-10T00:00:00"/>
    <n v="30318.793408580856"/>
    <n v="306.79340858085561"/>
    <s v="Vigente"/>
  </r>
  <r>
    <s v="D0169"/>
    <s v="CL0198"/>
    <x v="1"/>
    <x v="3"/>
    <x v="153"/>
    <n v="9.3021458084776992E-3"/>
    <n v="7.7189336453176161E-4"/>
    <n v="0"/>
    <n v="1962"/>
    <s v=""/>
    <n v="1963.5144547812113"/>
    <n v="1.5144547812112705"/>
    <s v="Vigente"/>
  </r>
  <r>
    <s v="D0170"/>
    <s v="CL0234"/>
    <x v="4"/>
    <x v="2"/>
    <x v="154"/>
    <n v="4.4145306463540493E-2"/>
    <n v="3.6063758986009109E-3"/>
    <n v="6"/>
    <n v="47991"/>
    <d v="2026-10-12T00:00:00"/>
    <n v="48512.095513460168"/>
    <n v="521.09551346016815"/>
    <s v="Vigente"/>
  </r>
  <r>
    <s v="D0171"/>
    <s v="CL0114"/>
    <x v="0"/>
    <x v="0"/>
    <x v="155"/>
    <n v="3.2208122291468209E-2"/>
    <n v="2.645185313260523E-3"/>
    <n v="3"/>
    <n v="910"/>
    <d v="2025-10-08T00:00:00"/>
    <n v="917.24047457240545"/>
    <n v="7.2404745724054465"/>
    <s v="Vencido"/>
  </r>
  <r>
    <s v="D0172"/>
    <s v="CL0242"/>
    <x v="3"/>
    <x v="5"/>
    <x v="156"/>
    <n v="4.3223896875323034E-2"/>
    <n v="3.5325430423465143E-3"/>
    <n v="6"/>
    <n v="45292"/>
    <d v="2026-06-26T00:00:00"/>
    <n v="46260.493562269279"/>
    <n v="968.49356226927921"/>
    <s v="Vencido"/>
  </r>
  <r>
    <s v="D0173"/>
    <s v="CL0011"/>
    <x v="1"/>
    <x v="2"/>
    <x v="157"/>
    <n v="1.1516753250486487E-2"/>
    <n v="9.5470045888879085E-4"/>
    <n v="0"/>
    <n v="22033"/>
    <s v=""/>
    <n v="22308.025793506815"/>
    <n v="275.02579350681481"/>
    <s v="Vigente"/>
  </r>
  <r>
    <s v="D0174"/>
    <s v="CL0064"/>
    <x v="1"/>
    <x v="3"/>
    <x v="27"/>
    <n v="1.4880922561041916E-2"/>
    <n v="1.2316985798785929E-3"/>
    <n v="0"/>
    <n v="48807"/>
    <s v=""/>
    <n v="48807"/>
    <n v="0"/>
    <s v="Vigente"/>
  </r>
  <r>
    <s v="D0175"/>
    <s v="CL0232"/>
    <x v="3"/>
    <x v="5"/>
    <x v="158"/>
    <n v="3.1628073708077117E-2"/>
    <n v="2.5982202396186427E-3"/>
    <n v="6"/>
    <n v="37484"/>
    <d v="2023-09-02T00:00:00"/>
    <n v="38072.158975560094"/>
    <n v="588.1589755600944"/>
    <s v="Vencido"/>
  </r>
  <r>
    <s v="D0176"/>
    <s v="CL0109"/>
    <x v="4"/>
    <x v="0"/>
    <x v="90"/>
    <n v="4.1665311584570708E-2"/>
    <n v="3.407516900957086E-3"/>
    <n v="6"/>
    <n v="41239"/>
    <d v="2026-11-23T00:00:00"/>
    <n v="41520.524012055757"/>
    <n v="281.52401205575734"/>
    <s v="Vigente"/>
  </r>
  <r>
    <s v="D0177"/>
    <s v="CL0116"/>
    <x v="0"/>
    <x v="3"/>
    <x v="159"/>
    <n v="3.1253863998376777E-2"/>
    <n v="2.5679085742804642E-3"/>
    <n v="3"/>
    <n v="8293"/>
    <d v="2026-06-28T00:00:00"/>
    <n v="8357.0511938148902"/>
    <n v="64.051193814890212"/>
    <s v="Vencido"/>
  </r>
  <r>
    <s v="D0178"/>
    <s v="CL0017"/>
    <x v="2"/>
    <x v="1"/>
    <x v="160"/>
    <n v="6.2342379795063387E-2"/>
    <n v="5.0524091225052636E-3"/>
    <n v="12"/>
    <n v="742"/>
    <d v="2027-03-12T00:00:00"/>
    <n v="757.10957903059307"/>
    <n v="15.109579030593068"/>
    <s v="Vigente"/>
  </r>
  <r>
    <s v="D0179"/>
    <s v="CL0035"/>
    <x v="4"/>
    <x v="0"/>
    <x v="161"/>
    <n v="4.4238629393405282E-2"/>
    <n v="3.6138505647500541E-3"/>
    <n v="6"/>
    <n v="2512"/>
    <d v="2026-08-04T00:00:00"/>
    <n v="2566.9624309356404"/>
    <n v="54.962430935640441"/>
    <s v="Vencido"/>
  </r>
  <r>
    <s v="D0180"/>
    <s v="CL0124"/>
    <x v="4"/>
    <x v="0"/>
    <x v="162"/>
    <n v="4.773067914824209E-2"/>
    <n v="3.8931058025566401E-3"/>
    <n v="6"/>
    <n v="22876"/>
    <d v="2026-07-12T00:00:00"/>
    <n v="23415.579928382751"/>
    <n v="539.57992838275095"/>
    <s v="Vencido"/>
  </r>
  <r>
    <s v="D0181"/>
    <s v="CL0062"/>
    <x v="4"/>
    <x v="0"/>
    <x v="163"/>
    <n v="4.6629703767453901E-2"/>
    <n v="3.8051542662698168E-3"/>
    <n v="6"/>
    <n v="13169"/>
    <d v="2025-05-08T00:00:00"/>
    <n v="13472.535160318674"/>
    <n v="303.53516031867366"/>
    <s v="Vencido"/>
  </r>
  <r>
    <s v="D0182"/>
    <s v="CL0229"/>
    <x v="0"/>
    <x v="1"/>
    <x v="164"/>
    <n v="3.2281840116687111E-2"/>
    <n v="2.6511523272156889E-3"/>
    <n v="3"/>
    <n v="34490"/>
    <d v="2026-10-29T00:00:00"/>
    <n v="34490"/>
    <n v="0"/>
    <s v="Vigente"/>
  </r>
  <r>
    <s v="D0183"/>
    <s v="CL0050"/>
    <x v="2"/>
    <x v="1"/>
    <x v="165"/>
    <n v="6.770007468253067E-2"/>
    <n v="5.4738329891557136E-3"/>
    <n v="12"/>
    <n v="48175"/>
    <d v="2027-03-07T00:00:00"/>
    <n v="49508.023352178214"/>
    <n v="1333.0233521782138"/>
    <s v="Vigente"/>
  </r>
  <r>
    <s v="D0184"/>
    <s v="CL0164"/>
    <x v="3"/>
    <x v="6"/>
    <x v="166"/>
    <n v="3.5100690223545894E-2"/>
    <n v="2.8790287345907828E-3"/>
    <n v="6"/>
    <n v="28473"/>
    <d v="2026-09-06T00:00:00"/>
    <n v="28885.239802163254"/>
    <n v="412.23980216325435"/>
    <s v="Vigente"/>
  </r>
  <r>
    <s v="D0185"/>
    <s v="CL0020"/>
    <x v="2"/>
    <x v="1"/>
    <x v="167"/>
    <n v="6.0315351655448012E-2"/>
    <n v="4.8924596411878962E-3"/>
    <n v="12"/>
    <n v="6267"/>
    <d v="2027-06-27T00:00:00"/>
    <n v="6297.661044571325"/>
    <n v="30.661044571324965"/>
    <s v="Vigente"/>
  </r>
  <r>
    <s v="D0186"/>
    <s v="CL0047"/>
    <x v="4"/>
    <x v="5"/>
    <x v="168"/>
    <n v="4.6424182386487156E-2"/>
    <n v="3.7887267760008392E-3"/>
    <n v="6"/>
    <n v="22696"/>
    <d v="2026-12-04T00:00:00"/>
    <n v="22868.303674426668"/>
    <n v="172.30367442666829"/>
    <s v="Vigente"/>
  </r>
  <r>
    <s v="D0187"/>
    <s v="CL0086"/>
    <x v="3"/>
    <x v="5"/>
    <x v="137"/>
    <n v="3.6307713938645091E-2"/>
    <n v="2.9764308763764458E-3"/>
    <n v="6"/>
    <n v="44350"/>
    <d v="2027-01-03T00:00:00"/>
    <n v="44482.004709367298"/>
    <n v="132.00470936729835"/>
    <s v="Vigente"/>
  </r>
  <r>
    <s v="D0188"/>
    <s v="CL0038"/>
    <x v="3"/>
    <x v="1"/>
    <x v="38"/>
    <n v="4.3613208340965055E-2"/>
    <n v="3.5637459891815215E-3"/>
    <n v="6"/>
    <n v="46683"/>
    <d v="2026-08-20T00:00:00"/>
    <n v="47520.781811011228"/>
    <n v="837.78181101122755"/>
    <s v="Vigente"/>
  </r>
  <r>
    <s v="D0189"/>
    <s v="CL0006"/>
    <x v="3"/>
    <x v="3"/>
    <x v="107"/>
    <n v="3.8339423775577114E-2"/>
    <n v="3.140147394956383E-3"/>
    <n v="6"/>
    <n v="48876"/>
    <d v="2027-01-25T00:00:00"/>
    <n v="48876"/>
    <n v="0"/>
    <s v="Vigente"/>
  </r>
  <r>
    <s v="D0190"/>
    <s v="CL0024"/>
    <x v="3"/>
    <x v="0"/>
    <x v="169"/>
    <n v="4.192498197115728E-2"/>
    <n v="3.4283589642933876E-3"/>
    <n v="6"/>
    <n v="48585"/>
    <d v="2026-05-16T00:00:00"/>
    <n v="49593.005940616276"/>
    <n v="1008.0059406162763"/>
    <s v="Vencido"/>
  </r>
  <r>
    <s v="D0191"/>
    <s v="CL0197"/>
    <x v="1"/>
    <x v="4"/>
    <x v="170"/>
    <n v="7.459193371035829E-3"/>
    <n v="6.1948439799386357E-4"/>
    <n v="0"/>
    <n v="1039"/>
    <s v=""/>
    <n v="1044.1603325318163"/>
    <n v="5.1603325318162661"/>
    <s v="Vigente"/>
  </r>
  <r>
    <s v="D0192"/>
    <s v="CL0167"/>
    <x v="1"/>
    <x v="1"/>
    <x v="133"/>
    <n v="8.8745667757434941E-3"/>
    <n v="7.3655606171652011E-4"/>
    <n v="0"/>
    <n v="28591"/>
    <s v=""/>
    <n v="29337.364889976019"/>
    <n v="746.36488997601919"/>
    <s v="Vigente"/>
  </r>
  <r>
    <s v="D0193"/>
    <s v="CL0051"/>
    <x v="1"/>
    <x v="3"/>
    <x v="171"/>
    <n v="1.0773753265593216E-2"/>
    <n v="8.9340967758322343E-4"/>
    <n v="0"/>
    <n v="43915"/>
    <s v=""/>
    <n v="45634.107701284411"/>
    <n v="1719.1077012844107"/>
    <s v="Vigente"/>
  </r>
  <r>
    <s v="D0194"/>
    <s v="CL0157"/>
    <x v="1"/>
    <x v="5"/>
    <x v="70"/>
    <n v="7.0563650566118049E-3"/>
    <n v="5.8613716244937386E-4"/>
    <n v="0"/>
    <n v="12322"/>
    <s v=""/>
    <n v="12358.154268464355"/>
    <n v="36.154268464355482"/>
    <s v="Vigente"/>
  </r>
  <r>
    <s v="D0195"/>
    <s v="CL0175"/>
    <x v="1"/>
    <x v="3"/>
    <x v="44"/>
    <n v="6.9323113741802432E-3"/>
    <n v="5.7586519490437915E-4"/>
    <n v="0"/>
    <n v="16708"/>
    <s v=""/>
    <n v="16872.322158349139"/>
    <n v="164.3221583491395"/>
    <s v="Vigente"/>
  </r>
  <r>
    <s v="D0196"/>
    <s v="CL0030"/>
    <x v="0"/>
    <x v="0"/>
    <x v="172"/>
    <n v="3.0740855212266292E-2"/>
    <n v="2.5263375420847556E-3"/>
    <n v="3"/>
    <n v="17572"/>
    <d v="2024-11-06T00:00:00"/>
    <n v="17705.515146816986"/>
    <n v="133.51514681698609"/>
    <s v="Vencido"/>
  </r>
  <r>
    <s v="D0197"/>
    <s v="CL0241"/>
    <x v="3"/>
    <x v="5"/>
    <x v="173"/>
    <n v="3.220427175687253E-2"/>
    <n v="2.6448736249415905E-3"/>
    <n v="6"/>
    <n v="23404"/>
    <d v="2025-08-15T00:00:00"/>
    <n v="23777.868201294557"/>
    <n v="373.86820129455737"/>
    <s v="Vencido"/>
  </r>
  <r>
    <s v="D0198"/>
    <s v="CL0075"/>
    <x v="2"/>
    <x v="2"/>
    <x v="174"/>
    <n v="6.4736295921382719E-2"/>
    <n v="5.2409492300364846E-3"/>
    <n v="12"/>
    <n v="47384"/>
    <d v="2027-07-08T00:00:00"/>
    <n v="47632.337138316048"/>
    <n v="248.33713831604837"/>
    <s v="Vigente"/>
  </r>
  <r>
    <s v="D0199"/>
    <s v="CL0080"/>
    <x v="4"/>
    <x v="1"/>
    <x v="175"/>
    <n v="4.9444248663709271E-2"/>
    <n v="4.0298260891453719E-3"/>
    <n v="6"/>
    <n v="43656"/>
    <d v="2026-11-22T00:00:00"/>
    <n v="44008.56112703363"/>
    <n v="352.56112703363033"/>
    <s v="Vigente"/>
  </r>
  <r>
    <s v="D0200"/>
    <s v="CL0061"/>
    <x v="2"/>
    <x v="0"/>
    <x v="72"/>
    <n v="6.1381892565541225E-2"/>
    <n v="4.9766535500301856E-3"/>
    <n v="12"/>
    <n v="23640"/>
    <d v="2027-05-25T00:00:00"/>
    <n v="23875.881673629796"/>
    <n v="235.88167362979584"/>
    <s v="Vigente"/>
  </r>
  <r>
    <s v="D0201"/>
    <s v="CL0054"/>
    <x v="4"/>
    <x v="2"/>
    <x v="176"/>
    <n v="4.8805684057235704E-2"/>
    <n v="3.97890097762299E-3"/>
    <n v="6"/>
    <n v="11076"/>
    <d v="2025-08-01T00:00:00"/>
    <n v="11343.066110020705"/>
    <n v="267.06611002070531"/>
    <s v="Vencido"/>
  </r>
  <r>
    <s v="D0202"/>
    <s v="CL0140"/>
    <x v="1"/>
    <x v="4"/>
    <x v="177"/>
    <n v="1.0300598671683925E-2"/>
    <n v="8.5435717365101027E-4"/>
    <n v="0"/>
    <n v="30358"/>
    <s v=""/>
    <n v="30358"/>
    <n v="0"/>
    <s v="Vigente"/>
  </r>
  <r>
    <s v="D0203"/>
    <s v="CL0116"/>
    <x v="0"/>
    <x v="1"/>
    <x v="178"/>
    <n v="3.0759300985198596E-2"/>
    <n v="2.5278326011493046E-3"/>
    <n v="3"/>
    <n v="46572"/>
    <d v="2026-06-29T00:00:00"/>
    <n v="46926.072188495411"/>
    <n v="354.07218849541096"/>
    <s v="Vencido"/>
  </r>
  <r>
    <s v="D0204"/>
    <s v="CL0245"/>
    <x v="0"/>
    <x v="7"/>
    <x v="179"/>
    <n v="3.0479643453370564E-2"/>
    <n v="2.505163282784828E-3"/>
    <n v="3"/>
    <n v="47078"/>
    <d v="2026-08-12T00:00:00"/>
    <n v="47314.171608194098"/>
    <n v="236.17160819409764"/>
    <s v="Vigente"/>
  </r>
  <r>
    <s v="D0205"/>
    <s v="CL0088"/>
    <x v="3"/>
    <x v="1"/>
    <x v="180"/>
    <n v="3.0461674202905343E-2"/>
    <n v="2.503706484611401E-3"/>
    <n v="6"/>
    <n v="21538"/>
    <d v="2024-12-12T00:00:00"/>
    <n v="21863.580934115023"/>
    <n v="325.58093411502341"/>
    <s v="Vencido"/>
  </r>
  <r>
    <s v="D0206"/>
    <s v="CL0111"/>
    <x v="1"/>
    <x v="3"/>
    <x v="181"/>
    <n v="1.4215051963889124E-2"/>
    <n v="1.1769391738987167E-3"/>
    <n v="0"/>
    <n v="24559"/>
    <s v=""/>
    <n v="25055.029528158018"/>
    <n v="496.02952815801837"/>
    <s v="Vigente"/>
  </r>
  <r>
    <s v="D0207"/>
    <s v="CL0009"/>
    <x v="1"/>
    <x v="6"/>
    <x v="182"/>
    <n v="5.8433549833475495E-3"/>
    <n v="4.8564695508512834E-4"/>
    <n v="0"/>
    <n v="4361"/>
    <s v=""/>
    <n v="4377.9720784926585"/>
    <n v="16.972078492658511"/>
    <s v="Vigente"/>
  </r>
  <r>
    <s v="D0208"/>
    <s v="CL0136"/>
    <x v="1"/>
    <x v="7"/>
    <x v="72"/>
    <n v="1.0414753158871526E-2"/>
    <n v="8.6378061485747892E-4"/>
    <n v="0"/>
    <n v="37681"/>
    <s v=""/>
    <n v="37746.124349129706"/>
    <n v="65.124349129706388"/>
    <s v="Vigente"/>
  </r>
  <r>
    <s v="D0209"/>
    <s v="CL0055"/>
    <x v="4"/>
    <x v="2"/>
    <x v="57"/>
    <n v="4.2893741215654903E-2"/>
    <n v="3.5060730120990424E-3"/>
    <n v="6"/>
    <n v="30390"/>
    <d v="2025-06-28T00:00:00"/>
    <n v="31034.927175306442"/>
    <n v="644.92717530644222"/>
    <s v="Vencido"/>
  </r>
  <r>
    <s v="D0210"/>
    <s v="CL0073"/>
    <x v="4"/>
    <x v="5"/>
    <x v="183"/>
    <n v="4.8289868160367629E-2"/>
    <n v="3.937744239643326E-3"/>
    <n v="6"/>
    <n v="39117"/>
    <d v="2024-09-29T00:00:00"/>
    <n v="40050.342481041967"/>
    <n v="933.3424810419674"/>
    <s v="Vencido"/>
  </r>
  <r>
    <s v="D0211"/>
    <s v="CL0007"/>
    <x v="2"/>
    <x v="5"/>
    <x v="67"/>
    <n v="6.0732100552441722E-2"/>
    <n v="4.9253674926226232E-3"/>
    <n v="12"/>
    <n v="4837"/>
    <d v="2027-07-24T00:00:00"/>
    <n v="4837"/>
    <n v="0"/>
    <s v="Vigente"/>
  </r>
  <r>
    <s v="D0212"/>
    <s v="CL0165"/>
    <x v="1"/>
    <x v="2"/>
    <x v="184"/>
    <n v="5.2061003058094645E-3"/>
    <n v="4.3280991996375029E-4"/>
    <n v="0"/>
    <n v="46743"/>
    <s v=""/>
    <n v="46743"/>
    <n v="0"/>
    <s v="Vigente"/>
  </r>
  <r>
    <s v="D0213"/>
    <s v="CL0111"/>
    <x v="4"/>
    <x v="2"/>
    <x v="185"/>
    <n v="4.9810803659083885E-2"/>
    <n v="4.0590457804257074E-3"/>
    <n v="6"/>
    <n v="10378"/>
    <d v="2024-10-12T00:00:00"/>
    <n v="10633.327381795461"/>
    <n v="255.32738179546141"/>
    <s v="Vencido"/>
  </r>
  <r>
    <s v="D0214"/>
    <s v="CL0020"/>
    <x v="0"/>
    <x v="7"/>
    <x v="186"/>
    <n v="3.3454907292325739E-2"/>
    <n v="2.7460525240097233E-3"/>
    <n v="3"/>
    <n v="45989"/>
    <d v="2026-11-08T00:00:00"/>
    <n v="45989"/>
    <n v="0"/>
    <s v="Vigente"/>
  </r>
  <r>
    <s v="D0215"/>
    <s v="CL0043"/>
    <x v="0"/>
    <x v="3"/>
    <x v="187"/>
    <n v="3.9157818102063376E-2"/>
    <n v="3.2060111966984994E-3"/>
    <n v="3"/>
    <n v="48871"/>
    <d v="2023-06-28T00:00:00"/>
    <n v="49342.551492891274"/>
    <n v="471.55149289127439"/>
    <s v="Vencido"/>
  </r>
  <r>
    <s v="D0216"/>
    <s v="CL0058"/>
    <x v="2"/>
    <x v="3"/>
    <x v="188"/>
    <n v="6.9525398417585982E-2"/>
    <n v="5.6169660956635337E-3"/>
    <n v="12"/>
    <n v="42698"/>
    <d v="2026-12-17T00:00:00"/>
    <n v="44405.388695675632"/>
    <n v="1707.3886956756323"/>
    <s v="Vigente"/>
  </r>
  <r>
    <s v="D0217"/>
    <s v="CL0250"/>
    <x v="3"/>
    <x v="3"/>
    <x v="189"/>
    <n v="3.3340761316631461E-2"/>
    <n v="2.7368225437063298E-3"/>
    <n v="6"/>
    <n v="8043"/>
    <d v="2025-04-01T00:00:00"/>
    <n v="8175.9805415080236"/>
    <n v="132.98054150802363"/>
    <s v="Vencido"/>
  </r>
  <r>
    <s v="D0218"/>
    <s v="CL0164"/>
    <x v="1"/>
    <x v="7"/>
    <x v="124"/>
    <n v="1.331494871582314E-2"/>
    <n v="1.1028646977309098E-3"/>
    <n v="0"/>
    <n v="27784"/>
    <s v=""/>
    <n v="27999.20492864191"/>
    <n v="215.20492864190965"/>
    <s v="Vigente"/>
  </r>
  <r>
    <s v="D0219"/>
    <s v="CL0144"/>
    <x v="1"/>
    <x v="1"/>
    <x v="190"/>
    <n v="1.2685970440002151E-2"/>
    <n v="1.0510667873735446E-3"/>
    <n v="0"/>
    <n v="21170"/>
    <s v=""/>
    <n v="21259.144758158953"/>
    <n v="89.144758158952754"/>
    <s v="Vigente"/>
  </r>
  <r>
    <s v="D0220"/>
    <s v="CL0002"/>
    <x v="3"/>
    <x v="0"/>
    <x v="191"/>
    <n v="3.4381240132569289E-2"/>
    <n v="2.8209223614912293E-3"/>
    <n v="6"/>
    <n v="15604"/>
    <d v="2026-10-28T00:00:00"/>
    <n v="15736.425879171496"/>
    <n v="132.42587917149649"/>
    <s v="Vigente"/>
  </r>
  <r>
    <s v="D0221"/>
    <s v="CL0028"/>
    <x v="1"/>
    <x v="0"/>
    <x v="192"/>
    <n v="7.2308770740613188E-3"/>
    <n v="6.0058524801309687E-4"/>
    <n v="0"/>
    <n v="34541"/>
    <s v=""/>
    <n v="34561.744815051621"/>
    <n v="20.744815051621117"/>
    <s v="Vigente"/>
  </r>
  <r>
    <s v="D0222"/>
    <s v="CL0009"/>
    <x v="1"/>
    <x v="6"/>
    <x v="193"/>
    <n v="5.6491747047132798E-3"/>
    <n v="4.6955003397020079E-4"/>
    <n v="0"/>
    <n v="28045"/>
    <s v=""/>
    <n v="28176.963903498498"/>
    <n v="131.96390349849753"/>
    <s v="Vigente"/>
  </r>
  <r>
    <s v="D0223"/>
    <s v="CL0127"/>
    <x v="3"/>
    <x v="1"/>
    <x v="194"/>
    <n v="3.1424561882772963E-2"/>
    <n v="2.5817366629934391E-3"/>
    <n v="6"/>
    <n v="24075"/>
    <d v="2026-09-15T00:00:00"/>
    <n v="24324.585710725227"/>
    <n v="249.58571072522682"/>
    <s v="Vigente"/>
  </r>
  <r>
    <s v="D0224"/>
    <s v="CL0040"/>
    <x v="0"/>
    <x v="4"/>
    <x v="195"/>
    <n v="3.695959914669663E-2"/>
    <n v="3.0289922488353493E-3"/>
    <n v="3"/>
    <n v="32422"/>
    <d v="2026-07-05T00:00:00"/>
    <n v="32717.511256612357"/>
    <n v="295.5112566123571"/>
    <s v="Vencido"/>
  </r>
  <r>
    <s v="D0225"/>
    <s v="CL0234"/>
    <x v="1"/>
    <x v="1"/>
    <x v="196"/>
    <n v="9.5636548103413457E-3"/>
    <n v="7.9349903418868273E-4"/>
    <n v="0"/>
    <n v="44667"/>
    <s v=""/>
    <n v="45597.722396537145"/>
    <n v="930.72239653714496"/>
    <s v="Vigente"/>
  </r>
  <r>
    <s v="D0226"/>
    <s v="CL0055"/>
    <x v="1"/>
    <x v="4"/>
    <x v="89"/>
    <n v="1.3667106955175631E-2"/>
    <n v="1.1318529275479161E-3"/>
    <n v="0"/>
    <n v="13382"/>
    <s v=""/>
    <n v="13657.275071594888"/>
    <n v="275.27507159488778"/>
    <s v="Vigente"/>
  </r>
  <r>
    <s v="D0227"/>
    <s v="CL0243"/>
    <x v="1"/>
    <x v="0"/>
    <x v="5"/>
    <n v="1.3766496090397377E-2"/>
    <n v="1.1400325653847521E-3"/>
    <n v="0"/>
    <n v="12663"/>
    <s v=""/>
    <n v="12851.960108704732"/>
    <n v="188.96010870473219"/>
    <s v="Vigente"/>
  </r>
  <r>
    <s v="D0228"/>
    <s v="CL0185"/>
    <x v="4"/>
    <x v="6"/>
    <x v="126"/>
    <n v="4.952010038373883E-2"/>
    <n v="4.0358733268925917E-3"/>
    <n v="6"/>
    <n v="34475"/>
    <d v="2025-10-21T00:00:00"/>
    <n v="35318.28893446915"/>
    <n v="843.28893446915026"/>
    <s v="Vencido"/>
  </r>
  <r>
    <s v="D0229"/>
    <s v="CL0109"/>
    <x v="1"/>
    <x v="6"/>
    <x v="108"/>
    <n v="9.0046358395864182E-3"/>
    <n v="7.4730708240844379E-4"/>
    <n v="0"/>
    <n v="28664"/>
    <s v=""/>
    <n v="28706.857628343496"/>
    <n v="42.85762834349589"/>
    <s v="Vigente"/>
  </r>
  <r>
    <s v="D0230"/>
    <s v="CL0098"/>
    <x v="3"/>
    <x v="1"/>
    <x v="92"/>
    <n v="3.6804946430307267E-2"/>
    <n v="3.0165253726843755E-3"/>
    <n v="6"/>
    <n v="49063"/>
    <d v="2027-01-19T00:00:00"/>
    <n v="49063"/>
    <n v="0"/>
    <s v="Vigente"/>
  </r>
  <r>
    <s v="D0231"/>
    <s v="CL0148"/>
    <x v="1"/>
    <x v="1"/>
    <x v="197"/>
    <n v="9.3713732400121288E-3"/>
    <n v="7.7761338026616222E-4"/>
    <n v="0"/>
    <n v="15714"/>
    <s v=""/>
    <n v="15775.192177023844"/>
    <n v="61.192177023844124"/>
    <s v="Vigente"/>
  </r>
  <r>
    <s v="D0232"/>
    <s v="CL0170"/>
    <x v="0"/>
    <x v="0"/>
    <x v="198"/>
    <n v="3.5091832082012782E-2"/>
    <n v="2.8783135320904485E-3"/>
    <n v="3"/>
    <n v="27259"/>
    <d v="2025-04-03T00:00:00"/>
    <n v="27495.057992725116"/>
    <n v="236.05799272511649"/>
    <s v="Vencido"/>
  </r>
  <r>
    <s v="D0233"/>
    <s v="CL0134"/>
    <x v="1"/>
    <x v="6"/>
    <x v="199"/>
    <n v="6.7855051615982875E-3"/>
    <n v="5.6370775988301425E-4"/>
    <n v="0"/>
    <n v="39768"/>
    <s v=""/>
    <n v="40082.997980873894"/>
    <n v="314.99798087389354"/>
    <s v="Vigente"/>
  </r>
  <r>
    <s v="D0234"/>
    <s v="CL0016"/>
    <x v="2"/>
    <x v="6"/>
    <x v="200"/>
    <n v="5.6765537275817637E-2"/>
    <n v="4.6116731211571782E-3"/>
    <n v="12"/>
    <n v="5959"/>
    <d v="2027-07-20T00:00:00"/>
    <n v="5959"/>
    <n v="0"/>
    <s v="Vigente"/>
  </r>
  <r>
    <s v="D0235"/>
    <s v="CL0226"/>
    <x v="1"/>
    <x v="2"/>
    <x v="201"/>
    <n v="5.084079492167588E-3"/>
    <n v="4.2268924108790351E-4"/>
    <n v="0"/>
    <n v="5725"/>
    <s v=""/>
    <n v="5729.8408146744205"/>
    <n v="4.8408146744204714"/>
    <s v="Vigente"/>
  </r>
  <r>
    <s v="D0236"/>
    <s v="CL0225"/>
    <x v="3"/>
    <x v="4"/>
    <x v="202"/>
    <n v="4.3762277056578938E-2"/>
    <n v="3.575690881244542E-3"/>
    <n v="6"/>
    <n v="15926"/>
    <d v="2026-05-25T00:00:00"/>
    <n v="16270.747662496753"/>
    <n v="344.74766249675304"/>
    <s v="Vencido"/>
  </r>
  <r>
    <s v="D0237"/>
    <s v="CL0076"/>
    <x v="3"/>
    <x v="0"/>
    <x v="203"/>
    <n v="4.1710507152584814E-2"/>
    <n v="3.411144799346566E-3"/>
    <n v="6"/>
    <n v="21102"/>
    <d v="2026-09-16T00:00:00"/>
    <n v="21391.404509073567"/>
    <n v="289.40450907356717"/>
    <s v="Vigente"/>
  </r>
  <r>
    <s v="D0238"/>
    <s v="CL0165"/>
    <x v="4"/>
    <x v="5"/>
    <x v="204"/>
    <n v="4.1112890841353361E-2"/>
    <n v="3.3631618109495331E-3"/>
    <n v="6"/>
    <n v="6528"/>
    <d v="2025-12-05T00:00:00"/>
    <n v="6660.8408600431167"/>
    <n v="132.84086004311666"/>
    <s v="Vencido"/>
  </r>
  <r>
    <s v="D0239"/>
    <s v="CL0089"/>
    <x v="1"/>
    <x v="0"/>
    <x v="123"/>
    <n v="1.2093107047752412E-2"/>
    <n v="1.0022160202458608E-3"/>
    <n v="0"/>
    <n v="1766"/>
    <s v=""/>
    <n v="1776.6461240674298"/>
    <n v="10.64612406742981"/>
    <s v="Vigente"/>
  </r>
  <r>
    <s v="D0240"/>
    <s v="CL0103"/>
    <x v="4"/>
    <x v="0"/>
    <x v="50"/>
    <n v="4.3589368525708071E-2"/>
    <n v="3.5618355571838123E-3"/>
    <n v="6"/>
    <n v="5822"/>
    <d v="2026-11-29T00:00:00"/>
    <n v="5863.5478750353559"/>
    <n v="41.547875035355901"/>
    <s v="Vigente"/>
  </r>
  <r>
    <s v="D0241"/>
    <s v="CL0209"/>
    <x v="4"/>
    <x v="2"/>
    <x v="205"/>
    <n v="4.5826445192960148E-2"/>
    <n v="3.7409323434980379E-3"/>
    <n v="6"/>
    <n v="36551"/>
    <d v="2026-11-30T00:00:00"/>
    <n v="36824.981151877859"/>
    <n v="273.98115187785879"/>
    <s v="Vigente"/>
  </r>
  <r>
    <s v="D0242"/>
    <s v="CL0170"/>
    <x v="3"/>
    <x v="6"/>
    <x v="206"/>
    <n v="3.8486006817608859E-2"/>
    <n v="3.1519477929207174E-3"/>
    <n v="6"/>
    <n v="791"/>
    <d v="2023-09-16T00:00:00"/>
    <n v="806.07751688758083"/>
    <n v="15.077516887580828"/>
    <s v="Vencido"/>
  </r>
  <r>
    <s v="D0243"/>
    <s v="CL0237"/>
    <x v="1"/>
    <x v="3"/>
    <x v="207"/>
    <n v="1.2704889538163681E-2"/>
    <n v="1.052625251842132E-3"/>
    <n v="0"/>
    <n v="7562"/>
    <s v=""/>
    <n v="7690.3696520872663"/>
    <n v="128.36965208726633"/>
    <s v="Vigente"/>
  </r>
  <r>
    <s v="D0244"/>
    <s v="CL0051"/>
    <x v="1"/>
    <x v="0"/>
    <x v="78"/>
    <n v="1.0688330254406884E-2"/>
    <n v="8.8636040463430099E-4"/>
    <n v="0"/>
    <n v="9967"/>
    <s v=""/>
    <n v="10011.250144418689"/>
    <n v="44.25014441868916"/>
    <s v="Vigente"/>
  </r>
  <r>
    <s v="D0245"/>
    <s v="CL0076"/>
    <x v="3"/>
    <x v="6"/>
    <x v="52"/>
    <n v="4.0985481336527629E-2"/>
    <n v="3.3529287568361266E-3"/>
    <n v="6"/>
    <n v="25372"/>
    <d v="2027-01-27T00:00:00"/>
    <n v="25372"/>
    <n v="0"/>
    <s v="Vigente"/>
  </r>
  <r>
    <s v="D0246"/>
    <s v="CL0151"/>
    <x v="2"/>
    <x v="1"/>
    <x v="199"/>
    <n v="6.7261672866857442E-2"/>
    <n v="5.4394222229534606E-3"/>
    <n v="12"/>
    <n v="35918"/>
    <d v="2026-05-29T00:00:00"/>
    <n v="38333.904766031839"/>
    <n v="2415.9047660318392"/>
    <s v="Vencido"/>
  </r>
  <r>
    <s v="D0247"/>
    <s v="CL0180"/>
    <x v="4"/>
    <x v="5"/>
    <x v="208"/>
    <n v="4.5651928737134209E-2"/>
    <n v="3.7269734699854062E-3"/>
    <n v="6"/>
    <n v="39750"/>
    <d v="2026-06-14T00:00:00"/>
    <n v="40647.206554082135"/>
    <n v="897.20655408213497"/>
    <s v="Vencido"/>
  </r>
  <r>
    <s v="D0248"/>
    <s v="CL0122"/>
    <x v="0"/>
    <x v="3"/>
    <x v="209"/>
    <n v="3.8024523824041555E-2"/>
    <n v="3.1147917892007104E-3"/>
    <n v="3"/>
    <n v="46846"/>
    <d v="2026-04-14T00:00:00"/>
    <n v="47285.111513674521"/>
    <n v="439.11151367452112"/>
    <s v="Vencido"/>
  </r>
  <r>
    <s v="D0249"/>
    <s v="CL0012"/>
    <x v="2"/>
    <x v="4"/>
    <x v="30"/>
    <n v="6.73077143017103E-2"/>
    <n v="5.4430366878621683E-3"/>
    <n v="12"/>
    <n v="43829"/>
    <d v="2027-07-11T00:00:00"/>
    <n v="44067.562854992313"/>
    <n v="238.56285499231308"/>
    <s v="Vigente"/>
  </r>
  <r>
    <s v="D0250"/>
    <s v="CL0046"/>
    <x v="1"/>
    <x v="7"/>
    <x v="210"/>
    <n v="1.024961588030191E-2"/>
    <n v="8.5014823415474616E-4"/>
    <n v="0"/>
    <n v="42864"/>
    <s v=""/>
    <n v="42900.440753908806"/>
    <n v="36.440753908806073"/>
    <s v="Vigente"/>
  </r>
  <r>
    <s v="D0251"/>
    <s v="CL0171"/>
    <x v="0"/>
    <x v="6"/>
    <x v="211"/>
    <n v="3.2110640842283711E-2"/>
    <n v="2.6372941772208058E-3"/>
    <n v="3"/>
    <n v="34125"/>
    <d v="2025-02-14T00:00:00"/>
    <n v="34395.705668299677"/>
    <n v="270.7056682996772"/>
    <s v="Vencido"/>
  </r>
  <r>
    <s v="D0252"/>
    <s v="CL0034"/>
    <x v="0"/>
    <x v="3"/>
    <x v="212"/>
    <n v="3.6740586088799147E-2"/>
    <n v="3.0113366497823701E-3"/>
    <n v="3"/>
    <n v="19747"/>
    <d v="2022-11-23T00:00:00"/>
    <n v="19925.932339886429"/>
    <n v="178.93233988642896"/>
    <s v="Vencido"/>
  </r>
  <r>
    <s v="D0253"/>
    <s v="CL0133"/>
    <x v="2"/>
    <x v="4"/>
    <x v="213"/>
    <n v="6.7223605128015701E-2"/>
    <n v="5.4364336219965281E-3"/>
    <n v="12"/>
    <n v="26883"/>
    <d v="2025-02-25T00:00:00"/>
    <n v="28690.172176656477"/>
    <n v="1807.1721766564769"/>
    <s v="Vencido"/>
  </r>
  <r>
    <s v="D0254"/>
    <s v="CL0082"/>
    <x v="4"/>
    <x v="1"/>
    <x v="185"/>
    <n v="4.1308027944183846E-2"/>
    <n v="3.378832266766052E-3"/>
    <n v="6"/>
    <n v="11428"/>
    <d v="2024-10-12T00:00:00"/>
    <n v="11661.645627533009"/>
    <n v="233.64562753300925"/>
    <s v="Vencido"/>
  </r>
  <r>
    <s v="D0255"/>
    <s v="CL0224"/>
    <x v="4"/>
    <x v="0"/>
    <x v="214"/>
    <n v="4.1815294548361137E-2"/>
    <n v="3.4195556448337605E-3"/>
    <n v="6"/>
    <n v="32689"/>
    <d v="2027-02-01T00:00:00"/>
    <n v="32689"/>
    <n v="0"/>
    <s v="Vigente"/>
  </r>
  <r>
    <s v="D0256"/>
    <s v="CL0079"/>
    <x v="1"/>
    <x v="5"/>
    <x v="215"/>
    <n v="1.020961554058903E-2"/>
    <n v="8.4684582652494456E-4"/>
    <n v="0"/>
    <n v="16636"/>
    <s v=""/>
    <n v="16650.088127170067"/>
    <n v="14.08812717006731"/>
    <s v="Vigente"/>
  </r>
  <r>
    <s v="D0257"/>
    <s v="CL0044"/>
    <x v="4"/>
    <x v="3"/>
    <x v="216"/>
    <n v="4.2934507775078165E-2"/>
    <n v="3.5093418619842609E-3"/>
    <n v="6"/>
    <n v="43600"/>
    <d v="2026-09-17T00:00:00"/>
    <n v="44215.258494424328"/>
    <n v="615.25849442432809"/>
    <s v="Vigente"/>
  </r>
  <r>
    <s v="D0258"/>
    <s v="CL0070"/>
    <x v="4"/>
    <x v="1"/>
    <x v="217"/>
    <n v="4.2691867037657032E-2"/>
    <n v="3.4898840874018067E-3"/>
    <n v="6"/>
    <n v="44026"/>
    <d v="2026-03-09T00:00:00"/>
    <n v="44955.954426932025"/>
    <n v="929.95442693202494"/>
    <s v="Vencido"/>
  </r>
  <r>
    <s v="D0259"/>
    <s v="CL0068"/>
    <x v="3"/>
    <x v="0"/>
    <x v="218"/>
    <n v="3.3341364653911569E-2"/>
    <n v="2.7368713327384775E-3"/>
    <n v="6"/>
    <n v="46475"/>
    <d v="2026-05-19T00:00:00"/>
    <n v="47243.417455646195"/>
    <n v="768.41745564619487"/>
    <s v="Vencido"/>
  </r>
  <r>
    <s v="D0260"/>
    <s v="CL0087"/>
    <x v="1"/>
    <x v="1"/>
    <x v="219"/>
    <n v="1.0810744476681244E-2"/>
    <n v="8.9646209479155026E-4"/>
    <n v="0"/>
    <n v="32795"/>
    <s v=""/>
    <n v="33238.770224118736"/>
    <n v="443.77022411873622"/>
    <s v="Vigente"/>
  </r>
  <r>
    <s v="D0261"/>
    <s v="CL0075"/>
    <x v="4"/>
    <x v="3"/>
    <x v="52"/>
    <n v="4.4748238342948353E-2"/>
    <n v="3.6546567098800775E-3"/>
    <n v="6"/>
    <n v="19493"/>
    <d v="2027-01-27T00:00:00"/>
    <n v="19493"/>
    <n v="0"/>
    <s v="Vigente"/>
  </r>
  <r>
    <s v="D0262"/>
    <s v="CL0043"/>
    <x v="1"/>
    <x v="1"/>
    <x v="220"/>
    <n v="1.2073715481312274E-2"/>
    <n v="1.0006177506707292E-3"/>
    <n v="0"/>
    <n v="47258"/>
    <s v=""/>
    <n v="47400.003577545293"/>
    <n v="142.0035775452925"/>
    <s v="Vigente"/>
  </r>
  <r>
    <s v="D0263"/>
    <s v="CL0197"/>
    <x v="1"/>
    <x v="4"/>
    <x v="32"/>
    <n v="1.0427817459765419E-2"/>
    <n v="8.6485900932009585E-4"/>
    <n v="0"/>
    <n v="41654"/>
    <s v=""/>
    <n v="41726.080830753424"/>
    <n v="72.08083075342438"/>
    <s v="Vigente"/>
  </r>
  <r>
    <s v="D0264"/>
    <s v="CL0165"/>
    <x v="0"/>
    <x v="0"/>
    <x v="221"/>
    <n v="3.7566981727768387E-2"/>
    <n v="3.0779381324845811E-3"/>
    <n v="3"/>
    <n v="18930"/>
    <d v="2025-09-08T00:00:00"/>
    <n v="19105.334670134347"/>
    <n v="175.33467013434711"/>
    <s v="Vencido"/>
  </r>
  <r>
    <s v="D0265"/>
    <s v="CL0013"/>
    <x v="3"/>
    <x v="2"/>
    <x v="222"/>
    <n v="3.5033472811509342E-2"/>
    <n v="2.8736014896870721E-3"/>
    <n v="6"/>
    <n v="16342"/>
    <d v="2026-09-22T00:00:00"/>
    <n v="16530.652807185677"/>
    <n v="188.65280718567737"/>
    <s v="Vigente"/>
  </r>
  <r>
    <s v="D0266"/>
    <s v="CL0194"/>
    <x v="4"/>
    <x v="1"/>
    <x v="223"/>
    <n v="4.1804348777699396E-2"/>
    <n v="3.4186771099278257E-3"/>
    <n v="6"/>
    <n v="39559"/>
    <d v="2024-07-27T00:00:00"/>
    <n v="40377.40347980534"/>
    <n v="818.40347980533988"/>
    <s v="Vencido"/>
  </r>
  <r>
    <s v="D0267"/>
    <s v="CL0062"/>
    <x v="2"/>
    <x v="6"/>
    <x v="224"/>
    <n v="6.2140156038300282E-2"/>
    <n v="5.0364645447151801E-3"/>
    <n v="12"/>
    <n v="2400"/>
    <d v="2026-10-26T00:00:00"/>
    <n v="2511.0052053472677"/>
    <n v="111.00520534726775"/>
    <s v="Vigente"/>
  </r>
  <r>
    <s v="D0268"/>
    <s v="CL0127"/>
    <x v="3"/>
    <x v="6"/>
    <x v="225"/>
    <n v="4.0781611338449715E-2"/>
    <n v="3.3365522938069159E-3"/>
    <n v="6"/>
    <n v="890"/>
    <d v="2026-07-07T00:00:00"/>
    <n v="907.96647203582734"/>
    <n v="17.966472035827337"/>
    <s v="Vencido"/>
  </r>
  <r>
    <s v="D0269"/>
    <s v="CL0211"/>
    <x v="3"/>
    <x v="0"/>
    <x v="226"/>
    <n v="3.9021053243222074E-2"/>
    <n v="3.1950077665512389E-3"/>
    <n v="6"/>
    <n v="49743"/>
    <d v="2027-02-04T00:00:00"/>
    <n v="49743"/>
    <n v="0"/>
    <s v="Vigente"/>
  </r>
  <r>
    <s v="D0270"/>
    <s v="CL0220"/>
    <x v="3"/>
    <x v="2"/>
    <x v="227"/>
    <n v="3.4428105712531042E-2"/>
    <n v="2.8247085870440891E-3"/>
    <n v="6"/>
    <n v="1120"/>
    <d v="2025-05-22T00:00:00"/>
    <n v="1139.1165944738934"/>
    <n v="19.116594473893429"/>
    <s v="Vencido"/>
  </r>
  <r>
    <s v="D0271"/>
    <s v="CL0086"/>
    <x v="4"/>
    <x v="0"/>
    <x v="107"/>
    <n v="4.3367047143377482E-2"/>
    <n v="3.5440176419774261E-3"/>
    <n v="6"/>
    <n v="27381"/>
    <d v="2027-01-25T00:00:00"/>
    <n v="27381"/>
    <n v="0"/>
    <s v="Vigente"/>
  </r>
  <r>
    <s v="D0272"/>
    <s v="CL0050"/>
    <x v="1"/>
    <x v="7"/>
    <x v="228"/>
    <n v="1.4297591798652809E-2"/>
    <n v="1.1837288168452531E-3"/>
    <n v="0"/>
    <n v="30139"/>
    <s v=""/>
    <n v="31080.442472561201"/>
    <n v="941.4424725612007"/>
    <s v="Vigente"/>
  </r>
  <r>
    <s v="D0273"/>
    <s v="CL0229"/>
    <x v="0"/>
    <x v="1"/>
    <x v="167"/>
    <n v="3.0526462048506585E-2"/>
    <n v="2.5089588377886773E-3"/>
    <n v="3"/>
    <n v="25135"/>
    <d v="2026-09-27T00:00:00"/>
    <n v="25198.062680387819"/>
    <n v="63.062680387818546"/>
    <s v="Vigente"/>
  </r>
  <r>
    <s v="D0274"/>
    <s v="CL0042"/>
    <x v="4"/>
    <x v="3"/>
    <x v="229"/>
    <n v="4.8136527933617029E-2"/>
    <n v="3.9255057065237242E-3"/>
    <n v="6"/>
    <n v="18831"/>
    <d v="2025-02-02T00:00:00"/>
    <n v="19278.902708116457"/>
    <n v="447.90270811645678"/>
    <s v="Vencido"/>
  </r>
  <r>
    <s v="D0275"/>
    <s v="CL0051"/>
    <x v="4"/>
    <x v="4"/>
    <x v="137"/>
    <n v="4.1733850675387339E-2"/>
    <n v="3.413018553315883E-3"/>
    <n v="6"/>
    <n v="36081"/>
    <d v="2027-01-03T00:00:00"/>
    <n v="36204.145122422189"/>
    <n v="123.14512242218916"/>
    <s v="Vigente"/>
  </r>
  <r>
    <s v="D0276"/>
    <s v="CL0089"/>
    <x v="0"/>
    <x v="4"/>
    <x v="230"/>
    <n v="3.7025433211244414E-2"/>
    <n v="3.0342987521037035E-3"/>
    <n v="3"/>
    <n v="41650"/>
    <d v="2026-06-14T00:00:00"/>
    <n v="42030.287203404856"/>
    <n v="380.28720340485597"/>
    <s v="Vencido"/>
  </r>
  <r>
    <s v="D0277"/>
    <s v="CL0036"/>
    <x v="3"/>
    <x v="3"/>
    <x v="19"/>
    <n v="3.5067901966161441E-2"/>
    <n v="2.8763813968775143E-3"/>
    <n v="6"/>
    <n v="5259"/>
    <d v="2026-07-16T00:00:00"/>
    <n v="5350.416507635472"/>
    <n v="91.416507635472044"/>
    <s v="Vencido"/>
  </r>
  <r>
    <s v="D0278"/>
    <s v="CL0230"/>
    <x v="3"/>
    <x v="2"/>
    <x v="231"/>
    <n v="3.5811912433108176E-2"/>
    <n v="2.9364342056295012E-3"/>
    <n v="6"/>
    <n v="36406"/>
    <d v="2025-07-24T00:00:00"/>
    <n v="37052.150159335572"/>
    <n v="646.15015933557152"/>
    <s v="Vencido"/>
  </r>
  <r>
    <s v="D0279"/>
    <s v="CL0160"/>
    <x v="3"/>
    <x v="3"/>
    <x v="232"/>
    <n v="4.3920927042375942E-2"/>
    <n v="3.588401803842789E-3"/>
    <n v="6"/>
    <n v="35263"/>
    <d v="2026-06-30T00:00:00"/>
    <n v="36029.070580024163"/>
    <n v="766.07058002416306"/>
    <s v="Vencido"/>
  </r>
  <r>
    <s v="D0280"/>
    <s v="CL0128"/>
    <x v="3"/>
    <x v="7"/>
    <x v="67"/>
    <n v="3.6725469013206037E-2"/>
    <n v="3.0101178701655851E-3"/>
    <n v="6"/>
    <n v="25878"/>
    <d v="2027-01-24T00:00:00"/>
    <n v="25878"/>
    <n v="0"/>
    <s v="Vigente"/>
  </r>
  <r>
    <s v="D0281"/>
    <s v="CL0001"/>
    <x v="1"/>
    <x v="0"/>
    <x v="203"/>
    <n v="8.6270336063211956E-3"/>
    <n v="7.1609238856518154E-4"/>
    <n v="0"/>
    <n v="27972"/>
    <s v=""/>
    <n v="28052.208248552306"/>
    <n v="80.208248552306031"/>
    <s v="Vigente"/>
  </r>
  <r>
    <s v="D0282"/>
    <s v="CL0154"/>
    <x v="2"/>
    <x v="6"/>
    <x v="233"/>
    <n v="6.0785964122254059E-2"/>
    <n v="4.9296198707604599E-3"/>
    <n v="12"/>
    <n v="25500"/>
    <d v="2025-07-19T00:00:00"/>
    <n v="27050.042085117468"/>
    <n v="1550.0420851174676"/>
    <s v="Vencido"/>
  </r>
  <r>
    <s v="D0283"/>
    <s v="CL0022"/>
    <x v="0"/>
    <x v="0"/>
    <x v="64"/>
    <n v="3.1993754468034E-2"/>
    <n v="2.6278313091803174E-3"/>
    <n v="3"/>
    <n v="37642"/>
    <d v="2025-09-23T00:00:00"/>
    <n v="37939.530971688589"/>
    <n v="297.53097168858949"/>
    <s v="Vencido"/>
  </r>
  <r>
    <s v="D0284"/>
    <s v="CL0177"/>
    <x v="0"/>
    <x v="0"/>
    <x v="234"/>
    <n v="3.0996322864458394E-2"/>
    <n v="2.5470414173025535E-3"/>
    <n v="3"/>
    <n v="20247"/>
    <d v="2026-07-09T00:00:00"/>
    <n v="20402.104229661378"/>
    <n v="155.10422966137776"/>
    <s v="Vencido"/>
  </r>
  <r>
    <s v="D0285"/>
    <s v="CL0249"/>
    <x v="2"/>
    <x v="5"/>
    <x v="87"/>
    <n v="6.5550462216980562E-2"/>
    <n v="5.3049828163802548E-3"/>
    <n v="12"/>
    <n v="30200"/>
    <d v="2026-01-08T00:00:00"/>
    <n v="32179.623958952776"/>
    <n v="1979.6239589527759"/>
    <s v="Vencido"/>
  </r>
  <r>
    <s v="D0286"/>
    <s v="CL0164"/>
    <x v="0"/>
    <x v="1"/>
    <x v="153"/>
    <n v="3.8623540249353543E-2"/>
    <n v="3.1630182804014417E-3"/>
    <n v="3"/>
    <n v="18147"/>
    <d v="2026-10-05T00:00:00"/>
    <n v="18204.399292734444"/>
    <n v="57.399292734444316"/>
    <s v="Vigente"/>
  </r>
  <r>
    <s v="D0287"/>
    <s v="CL0034"/>
    <x v="4"/>
    <x v="5"/>
    <x v="235"/>
    <n v="4.9544946388635554E-2"/>
    <n v="4.037854074215641E-3"/>
    <n v="6"/>
    <n v="49076"/>
    <d v="2023-09-01T00:00:00"/>
    <n v="50277.037394932377"/>
    <n v="1201.0373949323766"/>
    <s v="Vencido"/>
  </r>
  <r>
    <s v="D0288"/>
    <s v="CL0001"/>
    <x v="3"/>
    <x v="4"/>
    <x v="236"/>
    <n v="4.1369718576805721E-2"/>
    <n v="3.3837857637593061E-3"/>
    <n v="6"/>
    <n v="24629"/>
    <d v="2026-12-24T00:00:00"/>
    <n v="24712.339259575627"/>
    <n v="83.339259575626784"/>
    <s v="Vigente"/>
  </r>
  <r>
    <s v="D0289"/>
    <s v="CL0238"/>
    <x v="0"/>
    <x v="5"/>
    <x v="96"/>
    <n v="3.2828346959678095E-2"/>
    <n v="2.6953765867283597E-3"/>
    <n v="3"/>
    <n v="395"/>
    <d v="2026-02-13T00:00:00"/>
    <n v="398.20263808029534"/>
    <n v="3.202638080295344"/>
    <s v="Vencido"/>
  </r>
  <r>
    <s v="D0290"/>
    <s v="CL0145"/>
    <x v="3"/>
    <x v="3"/>
    <x v="237"/>
    <n v="3.2746617234281697E-2"/>
    <n v="2.6887642431892012E-3"/>
    <n v="6"/>
    <n v="26545"/>
    <d v="2024-02-24T00:00:00"/>
    <n v="26976.128409146819"/>
    <n v="431.12840914681874"/>
    <s v="Vencido"/>
  </r>
  <r>
    <s v="D0291"/>
    <s v="CL0019"/>
    <x v="2"/>
    <x v="5"/>
    <x v="238"/>
    <n v="6.739217978334236E-2"/>
    <n v="5.4496672459913853E-3"/>
    <n v="12"/>
    <n v="21718"/>
    <d v="2026-11-09T00:00:00"/>
    <n v="22806.720553623472"/>
    <n v="1088.7205536234724"/>
    <s v="Vigente"/>
  </r>
  <r>
    <s v="D0292"/>
    <s v="CL0034"/>
    <x v="2"/>
    <x v="4"/>
    <x v="239"/>
    <n v="6.2850341248943148E-2"/>
    <n v="5.092447692230273E-3"/>
    <n v="12"/>
    <n v="16996"/>
    <d v="2024-11-16T00:00:00"/>
    <n v="18064.204399867031"/>
    <n v="1068.2043998670306"/>
    <s v="Vencido"/>
  </r>
  <r>
    <s v="D0293"/>
    <s v="CL0017"/>
    <x v="4"/>
    <x v="6"/>
    <x v="240"/>
    <n v="4.4658920190372695E-2"/>
    <n v="3.647506016432045E-3"/>
    <n v="6"/>
    <n v="38677"/>
    <d v="2026-09-13T00:00:00"/>
    <n v="39244.393297729999"/>
    <n v="567.39329772999918"/>
    <s v="Vigente"/>
  </r>
  <r>
    <s v="D0294"/>
    <s v="CL0194"/>
    <x v="2"/>
    <x v="2"/>
    <x v="241"/>
    <n v="5.5876516639475543E-2"/>
    <n v="4.541217169156786E-3"/>
    <n v="12"/>
    <n v="39849"/>
    <d v="2027-08-06T00:00:00"/>
    <n v="39849"/>
    <n v="0"/>
    <s v="Vigente"/>
  </r>
  <r>
    <s v="D0295"/>
    <s v="CL0086"/>
    <x v="2"/>
    <x v="6"/>
    <x v="137"/>
    <n v="6.6923719403417722E-2"/>
    <n v="5.4128869419960424E-3"/>
    <n v="12"/>
    <n v="3003"/>
    <d v="2027-07-03T00:00:00"/>
    <n v="3019.2548994868143"/>
    <n v="16.254899486814338"/>
    <s v="Vigente"/>
  </r>
  <r>
    <s v="D0296"/>
    <s v="CL0041"/>
    <x v="1"/>
    <x v="4"/>
    <x v="242"/>
    <n v="6.9407307245285188E-3"/>
    <n v="5.7656237570302693E-4"/>
    <n v="0"/>
    <n v="34769"/>
    <s v=""/>
    <n v="34949.835125441394"/>
    <n v="180.83512544139376"/>
    <s v="Vigente"/>
  </r>
  <r>
    <s v="D0297"/>
    <s v="CL0237"/>
    <x v="4"/>
    <x v="7"/>
    <x v="243"/>
    <n v="4.9660720438303385E-2"/>
    <n v="4.0470831256755879E-3"/>
    <n v="6"/>
    <n v="43919"/>
    <d v="2026-03-15T00:00:00"/>
    <n v="44996.311626368428"/>
    <n v="1077.3116263684278"/>
    <s v="Vencido"/>
  </r>
  <r>
    <s v="D0298"/>
    <s v="CL0071"/>
    <x v="4"/>
    <x v="7"/>
    <x v="244"/>
    <n v="4.1562144773097699E-2"/>
    <n v="3.3992350459051135E-3"/>
    <n v="6"/>
    <n v="17080"/>
    <d v="2024-10-16T00:00:00"/>
    <n v="17431.32739842077"/>
    <n v="351.3273984207699"/>
    <s v="Vencido"/>
  </r>
  <r>
    <s v="D0299"/>
    <s v="CL0148"/>
    <x v="1"/>
    <x v="7"/>
    <x v="90"/>
    <n v="1.2836596519485575E-2"/>
    <n v="1.0634739010328964E-3"/>
    <n v="0"/>
    <n v="8498"/>
    <s v=""/>
    <n v="8516.0844134622766"/>
    <n v="18.084413462276643"/>
    <s v="Vigente"/>
  </r>
  <r>
    <s v="D0300"/>
    <s v="CL0092"/>
    <x v="0"/>
    <x v="2"/>
    <x v="245"/>
    <n v="3.5435305370187659E-2"/>
    <n v="2.9060413081698488E-3"/>
    <n v="3"/>
    <n v="3474"/>
    <d v="2026-05-13T00:00:00"/>
    <n v="3504.3748623547067"/>
    <n v="30.374862354706693"/>
    <s v="Venci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028F8-20B5-40B7-8BEF-D930F3DC797C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F3:G9" firstHeaderRow="1" firstDataRow="1" firstDataCol="1"/>
  <pivotFields count="22">
    <pivotField showAll="0"/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>
      <items count="9">
        <item x="0"/>
        <item x="5"/>
        <item x="6"/>
        <item x="3"/>
        <item x="2"/>
        <item x="1"/>
        <item x="7"/>
        <item x="4"/>
        <item t="default"/>
      </items>
    </pivotField>
    <pivotField numFmtId="14" showAll="0">
      <items count="325">
        <item x="154"/>
        <item x="181"/>
        <item x="238"/>
        <item x="131"/>
        <item x="276"/>
        <item x="107"/>
        <item x="199"/>
        <item x="102"/>
        <item x="251"/>
        <item x="266"/>
        <item x="314"/>
        <item x="279"/>
        <item x="104"/>
        <item x="258"/>
        <item x="14"/>
        <item x="90"/>
        <item x="235"/>
        <item x="46"/>
        <item x="263"/>
        <item x="161"/>
        <item x="243"/>
        <item x="209"/>
        <item x="180"/>
        <item x="252"/>
        <item x="77"/>
        <item x="92"/>
        <item x="249"/>
        <item x="4"/>
        <item x="125"/>
        <item x="94"/>
        <item x="130"/>
        <item x="286"/>
        <item x="302"/>
        <item x="282"/>
        <item x="70"/>
        <item x="111"/>
        <item x="44"/>
        <item x="204"/>
        <item x="265"/>
        <item x="119"/>
        <item x="177"/>
        <item x="115"/>
        <item x="261"/>
        <item x="37"/>
        <item x="56"/>
        <item x="167"/>
        <item x="315"/>
        <item x="244"/>
        <item x="163"/>
        <item x="39"/>
        <item x="170"/>
        <item x="322"/>
        <item x="121"/>
        <item x="141"/>
        <item x="230"/>
        <item x="293"/>
        <item x="78"/>
        <item x="140"/>
        <item x="237"/>
        <item x="228"/>
        <item x="285"/>
        <item x="34"/>
        <item x="183"/>
        <item x="306"/>
        <item x="309"/>
        <item x="132"/>
        <item x="120"/>
        <item x="240"/>
        <item x="75"/>
        <item x="194"/>
        <item x="233"/>
        <item x="173"/>
        <item x="38"/>
        <item x="241"/>
        <item x="67"/>
        <item x="191"/>
        <item x="206"/>
        <item x="133"/>
        <item x="40"/>
        <item x="259"/>
        <item x="76"/>
        <item x="307"/>
        <item x="236"/>
        <item x="284"/>
        <item x="33"/>
        <item x="58"/>
        <item x="255"/>
        <item x="156"/>
        <item x="1"/>
        <item x="300"/>
        <item x="218"/>
        <item x="160"/>
        <item x="223"/>
        <item x="321"/>
        <item x="3"/>
        <item x="30"/>
        <item x="114"/>
        <item x="272"/>
        <item x="74"/>
        <item x="137"/>
        <item x="95"/>
        <item x="212"/>
        <item x="318"/>
        <item x="185"/>
        <item x="57"/>
        <item x="157"/>
        <item x="152"/>
        <item x="71"/>
        <item x="247"/>
        <item x="232"/>
        <item x="43"/>
        <item x="267"/>
        <item x="310"/>
        <item x="196"/>
        <item x="295"/>
        <item x="69"/>
        <item x="214"/>
        <item x="193"/>
        <item x="200"/>
        <item x="101"/>
        <item x="179"/>
        <item x="208"/>
        <item x="245"/>
        <item x="80"/>
        <item x="292"/>
        <item x="304"/>
        <item x="18"/>
        <item x="211"/>
        <item x="0"/>
        <item x="198"/>
        <item x="98"/>
        <item x="175"/>
        <item x="165"/>
        <item x="280"/>
        <item x="79"/>
        <item x="142"/>
        <item x="5"/>
        <item x="123"/>
        <item x="148"/>
        <item x="313"/>
        <item x="26"/>
        <item x="225"/>
        <item x="89"/>
        <item x="216"/>
        <item x="227"/>
        <item x="234"/>
        <item x="217"/>
        <item x="207"/>
        <item x="45"/>
        <item x="169"/>
        <item x="297"/>
        <item x="47"/>
        <item x="35"/>
        <item x="197"/>
        <item x="202"/>
        <item x="17"/>
        <item x="24"/>
        <item x="221"/>
        <item x="144"/>
        <item x="87"/>
        <item x="220"/>
        <item x="192"/>
        <item x="54"/>
        <item x="11"/>
        <item x="319"/>
        <item x="231"/>
        <item x="269"/>
        <item x="203"/>
        <item x="147"/>
        <item x="184"/>
        <item x="182"/>
        <item x="224"/>
        <item x="213"/>
        <item x="257"/>
        <item x="162"/>
        <item x="83"/>
        <item x="12"/>
        <item x="106"/>
        <item x="226"/>
        <item x="159"/>
        <item x="164"/>
        <item x="178"/>
        <item x="229"/>
        <item x="16"/>
        <item x="222"/>
        <item x="149"/>
        <item x="105"/>
        <item x="323"/>
        <item x="195"/>
        <item x="298"/>
        <item x="27"/>
        <item x="85"/>
        <item x="66"/>
        <item x="65"/>
        <item x="288"/>
        <item x="20"/>
        <item x="305"/>
        <item x="88"/>
        <item x="82"/>
        <item x="316"/>
        <item x="51"/>
        <item x="86"/>
        <item x="81"/>
        <item x="145"/>
        <item x="312"/>
        <item x="124"/>
        <item x="253"/>
        <item x="201"/>
        <item x="15"/>
        <item x="303"/>
        <item x="117"/>
        <item x="29"/>
        <item x="84"/>
        <item x="254"/>
        <item x="25"/>
        <item x="73"/>
        <item x="283"/>
        <item x="138"/>
        <item x="270"/>
        <item x="291"/>
        <item x="113"/>
        <item x="19"/>
        <item x="6"/>
        <item x="215"/>
        <item x="63"/>
        <item x="50"/>
        <item x="250"/>
        <item x="311"/>
        <item x="10"/>
        <item x="9"/>
        <item x="256"/>
        <item x="31"/>
        <item x="143"/>
        <item x="289"/>
        <item x="264"/>
        <item x="41"/>
        <item x="275"/>
        <item x="134"/>
        <item x="42"/>
        <item x="171"/>
        <item x="281"/>
        <item x="246"/>
        <item x="97"/>
        <item x="262"/>
        <item x="205"/>
        <item x="32"/>
        <item x="189"/>
        <item x="210"/>
        <item x="158"/>
        <item x="136"/>
        <item x="100"/>
        <item x="299"/>
        <item x="268"/>
        <item x="53"/>
        <item x="21"/>
        <item x="91"/>
        <item x="166"/>
        <item x="308"/>
        <item x="219"/>
        <item x="320"/>
        <item x="155"/>
        <item x="23"/>
        <item x="109"/>
        <item x="129"/>
        <item x="278"/>
        <item x="174"/>
        <item x="153"/>
        <item x="72"/>
        <item x="128"/>
        <item x="36"/>
        <item x="8"/>
        <item x="96"/>
        <item x="187"/>
        <item x="116"/>
        <item x="93"/>
        <item x="22"/>
        <item x="55"/>
        <item x="48"/>
        <item x="248"/>
        <item x="317"/>
        <item x="274"/>
        <item x="168"/>
        <item x="59"/>
        <item x="108"/>
        <item x="151"/>
        <item x="277"/>
        <item x="294"/>
        <item x="172"/>
        <item x="186"/>
        <item x="242"/>
        <item x="239"/>
        <item x="287"/>
        <item x="135"/>
        <item x="126"/>
        <item x="13"/>
        <item x="273"/>
        <item x="60"/>
        <item x="260"/>
        <item x="271"/>
        <item x="301"/>
        <item x="64"/>
        <item x="49"/>
        <item x="150"/>
        <item x="68"/>
        <item x="2"/>
        <item x="190"/>
        <item x="110"/>
        <item x="99"/>
        <item x="127"/>
        <item x="52"/>
        <item x="62"/>
        <item x="118"/>
        <item x="290"/>
        <item x="28"/>
        <item x="112"/>
        <item x="7"/>
        <item x="176"/>
        <item x="103"/>
        <item x="188"/>
        <item x="296"/>
        <item x="139"/>
        <item x="61"/>
        <item x="146"/>
        <item x="122"/>
        <item t="default"/>
      </items>
    </pivotField>
    <pivotField dataField="1" numFmtId="44" showAll="0"/>
    <pivotField numFmtId="10" showAll="0"/>
    <pivotField numFmtId="10" showAll="0"/>
    <pivotField showAll="0"/>
    <pivotField numFmtId="8"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MontoDesembolsado" fld="5" baseField="0" baseItem="0" numFmtId="44"/>
  </dataField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1F2E99-B6CD-485B-BF72-9B82D1E5DFF8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B3:C12" firstHeaderRow="1" firstDataRow="1" firstDataCol="1"/>
  <pivotFields count="22">
    <pivotField showAll="0"/>
    <pivotField showAll="0"/>
    <pivotField showAll="0">
      <items count="6">
        <item x="1"/>
        <item x="3"/>
        <item x="2"/>
        <item x="4"/>
        <item x="0"/>
        <item t="default"/>
      </items>
    </pivotField>
    <pivotField axis="axisRow" showAll="0">
      <items count="9">
        <item x="0"/>
        <item x="5"/>
        <item x="6"/>
        <item x="3"/>
        <item x="2"/>
        <item x="1"/>
        <item x="7"/>
        <item x="4"/>
        <item t="default"/>
      </items>
    </pivotField>
    <pivotField numFmtId="14" showAll="0">
      <items count="325">
        <item x="154"/>
        <item x="181"/>
        <item x="238"/>
        <item x="131"/>
        <item x="276"/>
        <item x="107"/>
        <item x="199"/>
        <item x="102"/>
        <item x="251"/>
        <item x="266"/>
        <item x="314"/>
        <item x="279"/>
        <item x="104"/>
        <item x="258"/>
        <item x="14"/>
        <item x="90"/>
        <item x="235"/>
        <item x="46"/>
        <item x="263"/>
        <item x="161"/>
        <item x="243"/>
        <item x="209"/>
        <item x="180"/>
        <item x="252"/>
        <item x="77"/>
        <item x="92"/>
        <item x="249"/>
        <item x="4"/>
        <item x="125"/>
        <item x="94"/>
        <item x="130"/>
        <item x="286"/>
        <item x="302"/>
        <item x="282"/>
        <item x="70"/>
        <item x="111"/>
        <item x="44"/>
        <item x="204"/>
        <item x="265"/>
        <item x="119"/>
        <item x="177"/>
        <item x="115"/>
        <item x="261"/>
        <item x="37"/>
        <item x="56"/>
        <item x="167"/>
        <item x="315"/>
        <item x="244"/>
        <item x="163"/>
        <item x="39"/>
        <item x="170"/>
        <item x="322"/>
        <item x="121"/>
        <item x="141"/>
        <item x="230"/>
        <item x="293"/>
        <item x="78"/>
        <item x="140"/>
        <item x="237"/>
        <item x="228"/>
        <item x="285"/>
        <item x="34"/>
        <item x="183"/>
        <item x="306"/>
        <item x="309"/>
        <item x="132"/>
        <item x="120"/>
        <item x="240"/>
        <item x="75"/>
        <item x="194"/>
        <item x="233"/>
        <item x="173"/>
        <item x="38"/>
        <item x="241"/>
        <item x="67"/>
        <item x="191"/>
        <item x="206"/>
        <item x="133"/>
        <item x="40"/>
        <item x="259"/>
        <item x="76"/>
        <item x="307"/>
        <item x="236"/>
        <item x="284"/>
        <item x="33"/>
        <item x="58"/>
        <item x="255"/>
        <item x="156"/>
        <item x="1"/>
        <item x="300"/>
        <item x="218"/>
        <item x="160"/>
        <item x="223"/>
        <item x="321"/>
        <item x="3"/>
        <item x="30"/>
        <item x="114"/>
        <item x="272"/>
        <item x="74"/>
        <item x="137"/>
        <item x="95"/>
        <item x="212"/>
        <item x="318"/>
        <item x="185"/>
        <item x="57"/>
        <item x="157"/>
        <item x="152"/>
        <item x="71"/>
        <item x="247"/>
        <item x="232"/>
        <item x="43"/>
        <item x="267"/>
        <item x="310"/>
        <item x="196"/>
        <item x="295"/>
        <item x="69"/>
        <item x="214"/>
        <item x="193"/>
        <item x="200"/>
        <item x="101"/>
        <item x="179"/>
        <item x="208"/>
        <item x="245"/>
        <item x="80"/>
        <item x="292"/>
        <item x="304"/>
        <item x="18"/>
        <item x="211"/>
        <item x="0"/>
        <item x="198"/>
        <item x="98"/>
        <item x="175"/>
        <item x="165"/>
        <item x="280"/>
        <item x="79"/>
        <item x="142"/>
        <item x="5"/>
        <item x="123"/>
        <item x="148"/>
        <item x="313"/>
        <item x="26"/>
        <item x="225"/>
        <item x="89"/>
        <item x="216"/>
        <item x="227"/>
        <item x="234"/>
        <item x="217"/>
        <item x="207"/>
        <item x="45"/>
        <item x="169"/>
        <item x="297"/>
        <item x="47"/>
        <item x="35"/>
        <item x="197"/>
        <item x="202"/>
        <item x="17"/>
        <item x="24"/>
        <item x="221"/>
        <item x="144"/>
        <item x="87"/>
        <item x="220"/>
        <item x="192"/>
        <item x="54"/>
        <item x="11"/>
        <item x="319"/>
        <item x="231"/>
        <item x="269"/>
        <item x="203"/>
        <item x="147"/>
        <item x="184"/>
        <item x="182"/>
        <item x="224"/>
        <item x="213"/>
        <item x="257"/>
        <item x="162"/>
        <item x="83"/>
        <item x="12"/>
        <item x="106"/>
        <item x="226"/>
        <item x="159"/>
        <item x="164"/>
        <item x="178"/>
        <item x="229"/>
        <item x="16"/>
        <item x="222"/>
        <item x="149"/>
        <item x="105"/>
        <item x="323"/>
        <item x="195"/>
        <item x="298"/>
        <item x="27"/>
        <item x="85"/>
        <item x="66"/>
        <item x="65"/>
        <item x="288"/>
        <item x="20"/>
        <item x="305"/>
        <item x="88"/>
        <item x="82"/>
        <item x="316"/>
        <item x="51"/>
        <item x="86"/>
        <item x="81"/>
        <item x="145"/>
        <item x="312"/>
        <item x="124"/>
        <item x="253"/>
        <item x="201"/>
        <item x="15"/>
        <item x="303"/>
        <item x="117"/>
        <item x="29"/>
        <item x="84"/>
        <item x="254"/>
        <item x="25"/>
        <item x="73"/>
        <item x="283"/>
        <item x="138"/>
        <item x="270"/>
        <item x="291"/>
        <item x="113"/>
        <item x="19"/>
        <item x="6"/>
        <item x="215"/>
        <item x="63"/>
        <item x="50"/>
        <item x="250"/>
        <item x="311"/>
        <item x="10"/>
        <item x="9"/>
        <item x="256"/>
        <item x="31"/>
        <item x="143"/>
        <item x="289"/>
        <item x="264"/>
        <item x="41"/>
        <item x="275"/>
        <item x="134"/>
        <item x="42"/>
        <item x="171"/>
        <item x="281"/>
        <item x="246"/>
        <item x="97"/>
        <item x="262"/>
        <item x="205"/>
        <item x="32"/>
        <item x="189"/>
        <item x="210"/>
        <item x="158"/>
        <item x="136"/>
        <item x="100"/>
        <item x="299"/>
        <item x="268"/>
        <item x="53"/>
        <item x="21"/>
        <item x="91"/>
        <item x="166"/>
        <item x="308"/>
        <item x="219"/>
        <item x="320"/>
        <item x="155"/>
        <item x="23"/>
        <item x="109"/>
        <item x="129"/>
        <item x="278"/>
        <item x="174"/>
        <item x="153"/>
        <item x="72"/>
        <item x="128"/>
        <item x="36"/>
        <item x="8"/>
        <item x="96"/>
        <item x="187"/>
        <item x="116"/>
        <item x="93"/>
        <item x="22"/>
        <item x="55"/>
        <item x="48"/>
        <item x="248"/>
        <item x="317"/>
        <item x="274"/>
        <item x="168"/>
        <item x="59"/>
        <item x="108"/>
        <item x="151"/>
        <item x="277"/>
        <item x="294"/>
        <item x="172"/>
        <item x="186"/>
        <item x="242"/>
        <item x="239"/>
        <item x="287"/>
        <item x="135"/>
        <item x="126"/>
        <item x="13"/>
        <item x="273"/>
        <item x="60"/>
        <item x="260"/>
        <item x="271"/>
        <item x="301"/>
        <item x="64"/>
        <item x="49"/>
        <item x="150"/>
        <item x="68"/>
        <item x="2"/>
        <item x="190"/>
        <item x="110"/>
        <item x="99"/>
        <item x="127"/>
        <item x="52"/>
        <item x="62"/>
        <item x="118"/>
        <item x="290"/>
        <item x="28"/>
        <item x="112"/>
        <item x="7"/>
        <item x="176"/>
        <item x="103"/>
        <item x="188"/>
        <item x="296"/>
        <item x="139"/>
        <item x="61"/>
        <item x="146"/>
        <item x="122"/>
        <item t="default"/>
      </items>
    </pivotField>
    <pivotField dataField="1" numFmtId="44" showAll="0"/>
    <pivotField numFmtId="10" showAll="0"/>
    <pivotField numFmtId="10" showAll="0"/>
    <pivotField showAll="0"/>
    <pivotField numFmtId="8"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MontoDesembolsado" fld="5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81853-3D64-4DCC-85BD-E383104C5773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F16:G19" firstHeaderRow="1" firstDataRow="1" firstDataCol="1"/>
  <pivotFields count="22">
    <pivotField showAll="0"/>
    <pivotField showAll="0"/>
    <pivotField showAll="0">
      <items count="6">
        <item x="1"/>
        <item x="3"/>
        <item x="2"/>
        <item x="4"/>
        <item x="0"/>
        <item t="default"/>
      </items>
    </pivotField>
    <pivotField showAll="0"/>
    <pivotField numFmtId="14" showAll="0">
      <items count="325">
        <item x="154"/>
        <item x="181"/>
        <item x="238"/>
        <item x="131"/>
        <item x="276"/>
        <item x="107"/>
        <item x="199"/>
        <item x="102"/>
        <item x="251"/>
        <item x="266"/>
        <item x="314"/>
        <item x="279"/>
        <item x="104"/>
        <item x="258"/>
        <item x="14"/>
        <item x="90"/>
        <item x="235"/>
        <item x="46"/>
        <item x="263"/>
        <item x="161"/>
        <item x="243"/>
        <item x="209"/>
        <item x="180"/>
        <item x="252"/>
        <item x="77"/>
        <item x="92"/>
        <item x="249"/>
        <item x="4"/>
        <item x="125"/>
        <item x="94"/>
        <item x="130"/>
        <item x="286"/>
        <item x="302"/>
        <item x="282"/>
        <item x="70"/>
        <item x="111"/>
        <item x="44"/>
        <item x="204"/>
        <item x="265"/>
        <item x="119"/>
        <item x="177"/>
        <item x="115"/>
        <item x="261"/>
        <item x="37"/>
        <item x="56"/>
        <item x="167"/>
        <item x="315"/>
        <item x="244"/>
        <item x="163"/>
        <item x="39"/>
        <item x="170"/>
        <item x="322"/>
        <item x="121"/>
        <item x="141"/>
        <item x="230"/>
        <item x="293"/>
        <item x="78"/>
        <item x="140"/>
        <item x="237"/>
        <item x="228"/>
        <item x="285"/>
        <item x="34"/>
        <item x="183"/>
        <item x="306"/>
        <item x="309"/>
        <item x="132"/>
        <item x="120"/>
        <item x="240"/>
        <item x="75"/>
        <item x="194"/>
        <item x="233"/>
        <item x="173"/>
        <item x="38"/>
        <item x="241"/>
        <item x="67"/>
        <item x="191"/>
        <item x="206"/>
        <item x="133"/>
        <item x="40"/>
        <item x="259"/>
        <item x="76"/>
        <item x="307"/>
        <item x="236"/>
        <item x="284"/>
        <item x="33"/>
        <item x="58"/>
        <item x="255"/>
        <item x="156"/>
        <item x="1"/>
        <item x="300"/>
        <item x="218"/>
        <item x="160"/>
        <item x="223"/>
        <item x="321"/>
        <item x="3"/>
        <item x="30"/>
        <item x="114"/>
        <item x="272"/>
        <item x="74"/>
        <item x="137"/>
        <item x="95"/>
        <item x="212"/>
        <item x="318"/>
        <item x="185"/>
        <item x="57"/>
        <item x="157"/>
        <item x="152"/>
        <item x="71"/>
        <item x="247"/>
        <item x="232"/>
        <item x="43"/>
        <item x="267"/>
        <item x="310"/>
        <item x="196"/>
        <item x="295"/>
        <item x="69"/>
        <item x="214"/>
        <item x="193"/>
        <item x="200"/>
        <item x="101"/>
        <item x="179"/>
        <item x="208"/>
        <item x="245"/>
        <item x="80"/>
        <item x="292"/>
        <item x="304"/>
        <item x="18"/>
        <item x="211"/>
        <item x="0"/>
        <item x="198"/>
        <item x="98"/>
        <item x="175"/>
        <item x="165"/>
        <item x="280"/>
        <item x="79"/>
        <item x="142"/>
        <item x="5"/>
        <item x="123"/>
        <item x="148"/>
        <item x="313"/>
        <item x="26"/>
        <item x="225"/>
        <item x="89"/>
        <item x="216"/>
        <item x="227"/>
        <item x="234"/>
        <item x="217"/>
        <item x="207"/>
        <item x="45"/>
        <item x="169"/>
        <item x="297"/>
        <item x="47"/>
        <item x="35"/>
        <item x="197"/>
        <item x="202"/>
        <item x="17"/>
        <item x="24"/>
        <item x="221"/>
        <item x="144"/>
        <item x="87"/>
        <item x="220"/>
        <item x="192"/>
        <item x="54"/>
        <item x="11"/>
        <item x="319"/>
        <item x="231"/>
        <item x="269"/>
        <item x="203"/>
        <item x="147"/>
        <item x="184"/>
        <item x="182"/>
        <item x="224"/>
        <item x="213"/>
        <item x="257"/>
        <item x="162"/>
        <item x="83"/>
        <item x="12"/>
        <item x="106"/>
        <item x="226"/>
        <item x="159"/>
        <item x="164"/>
        <item x="178"/>
        <item x="229"/>
        <item x="16"/>
        <item x="222"/>
        <item x="149"/>
        <item x="105"/>
        <item x="323"/>
        <item x="195"/>
        <item x="298"/>
        <item x="27"/>
        <item x="85"/>
        <item x="66"/>
        <item x="65"/>
        <item x="288"/>
        <item x="20"/>
        <item x="305"/>
        <item x="88"/>
        <item x="82"/>
        <item x="316"/>
        <item x="51"/>
        <item x="86"/>
        <item x="81"/>
        <item x="145"/>
        <item x="312"/>
        <item x="124"/>
        <item x="253"/>
        <item x="201"/>
        <item x="15"/>
        <item x="303"/>
        <item x="117"/>
        <item x="29"/>
        <item x="84"/>
        <item x="254"/>
        <item x="25"/>
        <item x="73"/>
        <item x="283"/>
        <item x="138"/>
        <item x="270"/>
        <item x="291"/>
        <item x="113"/>
        <item x="19"/>
        <item x="6"/>
        <item x="215"/>
        <item x="63"/>
        <item x="50"/>
        <item x="250"/>
        <item x="311"/>
        <item x="10"/>
        <item x="9"/>
        <item x="256"/>
        <item x="31"/>
        <item x="143"/>
        <item x="289"/>
        <item x="264"/>
        <item x="41"/>
        <item x="275"/>
        <item x="134"/>
        <item x="42"/>
        <item x="171"/>
        <item x="281"/>
        <item x="246"/>
        <item x="97"/>
        <item x="262"/>
        <item x="205"/>
        <item x="32"/>
        <item x="189"/>
        <item x="210"/>
        <item x="158"/>
        <item x="136"/>
        <item x="100"/>
        <item x="299"/>
        <item x="268"/>
        <item x="53"/>
        <item x="21"/>
        <item x="91"/>
        <item x="166"/>
        <item x="308"/>
        <item x="219"/>
        <item x="320"/>
        <item x="155"/>
        <item x="23"/>
        <item x="109"/>
        <item x="129"/>
        <item x="278"/>
        <item x="174"/>
        <item x="153"/>
        <item x="72"/>
        <item x="128"/>
        <item x="36"/>
        <item x="8"/>
        <item x="96"/>
        <item x="187"/>
        <item x="116"/>
        <item x="93"/>
        <item x="22"/>
        <item x="55"/>
        <item x="48"/>
        <item x="248"/>
        <item x="317"/>
        <item x="274"/>
        <item x="168"/>
        <item x="59"/>
        <item x="108"/>
        <item x="151"/>
        <item x="277"/>
        <item x="294"/>
        <item x="172"/>
        <item x="186"/>
        <item x="242"/>
        <item x="239"/>
        <item x="287"/>
        <item x="135"/>
        <item x="126"/>
        <item x="13"/>
        <item x="273"/>
        <item x="60"/>
        <item x="260"/>
        <item x="271"/>
        <item x="301"/>
        <item x="64"/>
        <item x="49"/>
        <item x="150"/>
        <item x="68"/>
        <item x="2"/>
        <item x="190"/>
        <item x="110"/>
        <item x="99"/>
        <item x="127"/>
        <item x="52"/>
        <item x="62"/>
        <item x="118"/>
        <item x="290"/>
        <item x="28"/>
        <item x="112"/>
        <item x="7"/>
        <item x="176"/>
        <item x="103"/>
        <item x="188"/>
        <item x="296"/>
        <item x="139"/>
        <item x="61"/>
        <item x="146"/>
        <item x="122"/>
        <item t="default"/>
      </items>
    </pivotField>
    <pivotField dataField="1" numFmtId="44" showAll="0"/>
    <pivotField numFmtId="10" showAll="0"/>
    <pivotField numFmtId="10" showAll="0"/>
    <pivotField showAll="0"/>
    <pivotField numFmtId="8" showAll="0"/>
    <pivotField showAll="0"/>
    <pivotField showAll="0"/>
    <pivotField showAll="0"/>
    <pivotField showAll="0"/>
    <pivotField showAll="0"/>
    <pivotField numFmtId="44" showAll="0"/>
    <pivotField numFmtId="44" showAll="0"/>
    <pivotField axis="axisRow" showAll="0">
      <items count="4">
        <item h="1" x="0"/>
        <item x="2"/>
        <item x="1"/>
        <item t="default"/>
      </items>
    </pivotField>
    <pivotField showAll="0"/>
    <pivotField showAll="0" defaultSubtotal="0"/>
    <pivotField showAll="0" defaultSubtotal="0"/>
    <pivotField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17"/>
  </rowFields>
  <rowItems count="3">
    <i>
      <x v="1"/>
    </i>
    <i>
      <x v="2"/>
    </i>
    <i t="grand">
      <x/>
    </i>
  </rowItems>
  <colItems count="1">
    <i/>
  </colItems>
  <dataFields count="1">
    <dataField name="Suma de Saldo Pendiente" fld="5" baseField="17" baseItem="1" numFmtId="44"/>
  </dataField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6C2C5-BE0C-4AD1-95E7-F9F9F82D46D1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B16:C22" firstHeaderRow="1" firstDataRow="1" firstDataCol="1"/>
  <pivotFields count="22">
    <pivotField showAll="0"/>
    <pivotField showAll="0"/>
    <pivotField showAll="0">
      <items count="6">
        <item x="1"/>
        <item x="3"/>
        <item x="2"/>
        <item x="4"/>
        <item x="0"/>
        <item t="default"/>
      </items>
    </pivotField>
    <pivotField showAll="0"/>
    <pivotField axis="axisRow" numFmtId="14" showAll="0">
      <items count="325">
        <item x="154"/>
        <item x="181"/>
        <item x="238"/>
        <item x="131"/>
        <item x="276"/>
        <item x="107"/>
        <item x="199"/>
        <item x="102"/>
        <item x="251"/>
        <item x="266"/>
        <item x="314"/>
        <item x="279"/>
        <item x="104"/>
        <item x="258"/>
        <item x="14"/>
        <item x="90"/>
        <item x="235"/>
        <item x="46"/>
        <item x="263"/>
        <item x="161"/>
        <item x="243"/>
        <item x="209"/>
        <item x="180"/>
        <item x="252"/>
        <item x="77"/>
        <item x="92"/>
        <item x="249"/>
        <item x="4"/>
        <item x="125"/>
        <item x="94"/>
        <item x="130"/>
        <item x="286"/>
        <item x="302"/>
        <item x="282"/>
        <item x="70"/>
        <item x="111"/>
        <item x="44"/>
        <item x="204"/>
        <item x="265"/>
        <item x="119"/>
        <item x="177"/>
        <item x="115"/>
        <item x="261"/>
        <item x="37"/>
        <item x="56"/>
        <item x="167"/>
        <item x="315"/>
        <item x="244"/>
        <item x="163"/>
        <item x="39"/>
        <item x="170"/>
        <item x="322"/>
        <item x="121"/>
        <item x="141"/>
        <item x="230"/>
        <item x="293"/>
        <item x="78"/>
        <item x="140"/>
        <item x="237"/>
        <item x="228"/>
        <item x="285"/>
        <item x="34"/>
        <item x="183"/>
        <item x="306"/>
        <item x="309"/>
        <item x="132"/>
        <item x="120"/>
        <item x="240"/>
        <item x="75"/>
        <item x="194"/>
        <item x="233"/>
        <item x="173"/>
        <item x="38"/>
        <item x="241"/>
        <item x="67"/>
        <item x="191"/>
        <item x="206"/>
        <item x="133"/>
        <item x="40"/>
        <item x="259"/>
        <item x="76"/>
        <item x="307"/>
        <item x="236"/>
        <item x="284"/>
        <item x="33"/>
        <item x="58"/>
        <item x="255"/>
        <item x="156"/>
        <item x="1"/>
        <item x="300"/>
        <item x="218"/>
        <item x="160"/>
        <item x="223"/>
        <item x="321"/>
        <item x="3"/>
        <item x="30"/>
        <item x="114"/>
        <item x="272"/>
        <item x="74"/>
        <item x="137"/>
        <item x="95"/>
        <item x="212"/>
        <item x="318"/>
        <item x="185"/>
        <item x="57"/>
        <item x="157"/>
        <item x="152"/>
        <item x="71"/>
        <item x="247"/>
        <item x="232"/>
        <item x="43"/>
        <item x="267"/>
        <item x="310"/>
        <item x="196"/>
        <item x="295"/>
        <item x="69"/>
        <item x="214"/>
        <item x="193"/>
        <item x="200"/>
        <item x="101"/>
        <item x="179"/>
        <item x="208"/>
        <item x="245"/>
        <item x="80"/>
        <item x="292"/>
        <item x="304"/>
        <item x="18"/>
        <item x="211"/>
        <item x="0"/>
        <item x="198"/>
        <item x="98"/>
        <item x="175"/>
        <item x="165"/>
        <item x="280"/>
        <item x="79"/>
        <item x="142"/>
        <item x="5"/>
        <item x="123"/>
        <item x="148"/>
        <item x="313"/>
        <item x="26"/>
        <item x="225"/>
        <item x="89"/>
        <item x="216"/>
        <item x="227"/>
        <item x="234"/>
        <item x="217"/>
        <item x="207"/>
        <item x="45"/>
        <item x="169"/>
        <item x="297"/>
        <item x="47"/>
        <item x="35"/>
        <item x="197"/>
        <item x="202"/>
        <item x="17"/>
        <item x="24"/>
        <item x="221"/>
        <item x="144"/>
        <item x="87"/>
        <item x="220"/>
        <item x="192"/>
        <item x="54"/>
        <item x="11"/>
        <item x="319"/>
        <item x="231"/>
        <item x="269"/>
        <item x="203"/>
        <item x="147"/>
        <item x="184"/>
        <item x="182"/>
        <item x="224"/>
        <item x="213"/>
        <item x="257"/>
        <item x="162"/>
        <item x="83"/>
        <item x="12"/>
        <item x="106"/>
        <item x="226"/>
        <item x="159"/>
        <item x="164"/>
        <item x="178"/>
        <item x="229"/>
        <item x="16"/>
        <item x="222"/>
        <item x="149"/>
        <item x="105"/>
        <item x="323"/>
        <item x="195"/>
        <item x="298"/>
        <item x="27"/>
        <item x="85"/>
        <item x="66"/>
        <item x="65"/>
        <item x="288"/>
        <item x="20"/>
        <item x="305"/>
        <item x="88"/>
        <item x="82"/>
        <item x="316"/>
        <item x="51"/>
        <item x="86"/>
        <item x="81"/>
        <item x="145"/>
        <item x="312"/>
        <item x="124"/>
        <item x="253"/>
        <item x="201"/>
        <item x="15"/>
        <item x="303"/>
        <item x="117"/>
        <item x="29"/>
        <item x="84"/>
        <item x="254"/>
        <item x="25"/>
        <item x="73"/>
        <item x="283"/>
        <item x="138"/>
        <item x="270"/>
        <item x="291"/>
        <item x="113"/>
        <item x="19"/>
        <item x="6"/>
        <item x="215"/>
        <item x="63"/>
        <item x="50"/>
        <item x="250"/>
        <item x="311"/>
        <item x="10"/>
        <item x="9"/>
        <item x="256"/>
        <item x="31"/>
        <item x="143"/>
        <item x="289"/>
        <item x="264"/>
        <item x="41"/>
        <item x="275"/>
        <item x="134"/>
        <item x="42"/>
        <item x="171"/>
        <item x="281"/>
        <item x="246"/>
        <item x="97"/>
        <item x="262"/>
        <item x="205"/>
        <item x="32"/>
        <item x="189"/>
        <item x="210"/>
        <item x="158"/>
        <item x="136"/>
        <item x="100"/>
        <item x="299"/>
        <item x="268"/>
        <item x="53"/>
        <item x="21"/>
        <item x="91"/>
        <item x="166"/>
        <item x="308"/>
        <item x="219"/>
        <item x="320"/>
        <item x="155"/>
        <item x="23"/>
        <item x="109"/>
        <item x="129"/>
        <item x="278"/>
        <item x="174"/>
        <item x="153"/>
        <item x="72"/>
        <item x="128"/>
        <item x="36"/>
        <item x="8"/>
        <item x="96"/>
        <item x="187"/>
        <item x="116"/>
        <item x="93"/>
        <item x="22"/>
        <item x="55"/>
        <item x="48"/>
        <item x="248"/>
        <item x="317"/>
        <item x="274"/>
        <item x="168"/>
        <item x="59"/>
        <item x="108"/>
        <item x="151"/>
        <item x="277"/>
        <item x="294"/>
        <item x="172"/>
        <item x="186"/>
        <item x="242"/>
        <item x="239"/>
        <item x="287"/>
        <item x="135"/>
        <item x="126"/>
        <item x="13"/>
        <item x="273"/>
        <item x="60"/>
        <item x="260"/>
        <item x="271"/>
        <item x="301"/>
        <item x="64"/>
        <item x="49"/>
        <item x="150"/>
        <item x="68"/>
        <item x="2"/>
        <item x="190"/>
        <item x="110"/>
        <item x="99"/>
        <item x="127"/>
        <item x="52"/>
        <item x="62"/>
        <item x="118"/>
        <item x="290"/>
        <item x="28"/>
        <item x="112"/>
        <item x="7"/>
        <item x="176"/>
        <item x="103"/>
        <item x="188"/>
        <item x="296"/>
        <item x="139"/>
        <item x="61"/>
        <item x="146"/>
        <item x="122"/>
        <item t="default"/>
      </items>
    </pivotField>
    <pivotField dataField="1" numFmtId="44" showAll="0"/>
    <pivotField numFmtId="10" showAll="0"/>
    <pivotField numFmtId="10" showAll="0"/>
    <pivotField showAll="0"/>
    <pivotField numFmtId="8"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3">
    <field x="21"/>
    <field x="19"/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ontoDesembolsado" fld="5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320D6E-8A7B-4BC1-A23D-1C4BA3C8626C}" name="TablaDinámica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J2:K8" firstHeaderRow="1" firstDataRow="1" firstDataCol="1"/>
  <pivotFields count="16">
    <pivotField showAll="0"/>
    <pivotField showAll="0"/>
    <pivotField showAll="0">
      <items count="6">
        <item x="1"/>
        <item x="0"/>
        <item x="4"/>
        <item x="2"/>
        <item x="3"/>
        <item t="default"/>
      </items>
    </pivotField>
    <pivotField showAll="0">
      <items count="9">
        <item x="1"/>
        <item x="2"/>
        <item x="7"/>
        <item x="6"/>
        <item x="4"/>
        <item x="5"/>
        <item x="0"/>
        <item x="3"/>
        <item t="default"/>
      </items>
    </pivotField>
    <pivotField axis="axisRow" numFmtId="14" showAll="0">
      <items count="247">
        <item x="15"/>
        <item x="212"/>
        <item x="86"/>
        <item x="0"/>
        <item x="135"/>
        <item x="171"/>
        <item x="80"/>
        <item x="99"/>
        <item x="235"/>
        <item x="158"/>
        <item x="206"/>
        <item x="187"/>
        <item x="118"/>
        <item x="149"/>
        <item x="133"/>
        <item x="237"/>
        <item x="145"/>
        <item x="4"/>
        <item x="23"/>
        <item x="1"/>
        <item x="37"/>
        <item x="77"/>
        <item x="131"/>
        <item x="110"/>
        <item x="239"/>
        <item x="223"/>
        <item x="138"/>
        <item x="34"/>
        <item x="213"/>
        <item x="114"/>
        <item x="183"/>
        <item x="185"/>
        <item x="244"/>
        <item x="100"/>
        <item x="18"/>
        <item x="228"/>
        <item x="196"/>
        <item x="180"/>
        <item x="132"/>
        <item x="115"/>
        <item x="33"/>
        <item x="120"/>
        <item x="74"/>
        <item x="233"/>
        <item x="6"/>
        <item x="229"/>
        <item x="172"/>
        <item x="105"/>
        <item x="22"/>
        <item x="16"/>
        <item x="40"/>
        <item x="189"/>
        <item x="53"/>
        <item x="129"/>
        <item x="9"/>
        <item x="97"/>
        <item x="10"/>
        <item x="101"/>
        <item x="163"/>
        <item x="211"/>
        <item x="41"/>
        <item x="128"/>
        <item x="227"/>
        <item x="46"/>
        <item x="57"/>
        <item x="198"/>
        <item x="87"/>
        <item x="89"/>
        <item x="59"/>
        <item x="231"/>
        <item x="176"/>
        <item x="29"/>
        <item x="173"/>
        <item x="181"/>
        <item x="140"/>
        <item x="44"/>
        <item x="151"/>
        <item x="112"/>
        <item x="111"/>
        <item x="82"/>
        <item x="94"/>
        <item x="207"/>
        <item x="47"/>
        <item x="126"/>
        <item x="219"/>
        <item x="39"/>
        <item x="130"/>
        <item x="102"/>
        <item x="106"/>
        <item x="141"/>
        <item x="199"/>
        <item x="204"/>
        <item x="221"/>
        <item x="12"/>
        <item x="66"/>
        <item x="83"/>
        <item x="17"/>
        <item x="157"/>
        <item x="64"/>
        <item x="63"/>
        <item x="155"/>
        <item x="5"/>
        <item x="98"/>
        <item x="79"/>
        <item x="144"/>
        <item x="43"/>
        <item x="3"/>
        <item x="26"/>
        <item x="42"/>
        <item x="217"/>
        <item x="81"/>
        <item x="13"/>
        <item x="243"/>
        <item x="69"/>
        <item x="36"/>
        <item x="125"/>
        <item x="193"/>
        <item x="134"/>
        <item x="242"/>
        <item x="127"/>
        <item x="84"/>
        <item x="224"/>
        <item x="238"/>
        <item x="96"/>
        <item x="169"/>
        <item x="218"/>
        <item x="142"/>
        <item x="202"/>
        <item x="170"/>
        <item x="71"/>
        <item x="31"/>
        <item x="182"/>
        <item x="55"/>
        <item x="208"/>
        <item x="188"/>
        <item x="124"/>
        <item x="150"/>
        <item x="156"/>
        <item x="232"/>
        <item x="225"/>
        <item x="68"/>
        <item x="162"/>
        <item x="209"/>
        <item x="19"/>
        <item x="113"/>
        <item x="123"/>
        <item x="161"/>
        <item x="104"/>
        <item x="109"/>
        <item x="245"/>
        <item x="73"/>
        <item x="7"/>
        <item x="78"/>
        <item x="38"/>
        <item x="20"/>
        <item x="48"/>
        <item x="60"/>
        <item x="197"/>
        <item x="166"/>
        <item x="165"/>
        <item x="70"/>
        <item x="160"/>
        <item x="240"/>
        <item x="230"/>
        <item x="194"/>
        <item x="203"/>
        <item x="216"/>
        <item x="91"/>
        <item x="222"/>
        <item x="95"/>
        <item x="190"/>
        <item x="159"/>
        <item x="178"/>
        <item x="147"/>
        <item x="11"/>
        <item x="148"/>
        <item x="35"/>
        <item x="195"/>
        <item x="56"/>
        <item x="234"/>
        <item x="61"/>
        <item x="154"/>
        <item x="220"/>
        <item x="62"/>
        <item x="121"/>
        <item x="24"/>
        <item x="116"/>
        <item x="49"/>
        <item x="191"/>
        <item x="136"/>
        <item x="58"/>
        <item x="179"/>
        <item x="146"/>
        <item x="2"/>
        <item x="119"/>
        <item x="14"/>
        <item x="201"/>
        <item x="175"/>
        <item x="90"/>
        <item x="25"/>
        <item x="72"/>
        <item x="75"/>
        <item x="50"/>
        <item x="205"/>
        <item x="168"/>
        <item x="88"/>
        <item x="108"/>
        <item x="122"/>
        <item x="32"/>
        <item x="152"/>
        <item x="215"/>
        <item x="192"/>
        <item x="28"/>
        <item x="143"/>
        <item x="45"/>
        <item x="236"/>
        <item x="103"/>
        <item x="167"/>
        <item x="139"/>
        <item x="137"/>
        <item x="76"/>
        <item x="153"/>
        <item x="174"/>
        <item x="117"/>
        <item x="210"/>
        <item x="30"/>
        <item x="8"/>
        <item x="27"/>
        <item x="51"/>
        <item x="21"/>
        <item x="92"/>
        <item x="200"/>
        <item x="93"/>
        <item x="54"/>
        <item x="67"/>
        <item x="107"/>
        <item x="52"/>
        <item x="164"/>
        <item x="184"/>
        <item x="85"/>
        <item x="214"/>
        <item x="226"/>
        <item x="241"/>
        <item x="177"/>
        <item x="186"/>
        <item x="65"/>
        <item t="default"/>
      </items>
    </pivotField>
    <pivotField numFmtId="10" showAll="0"/>
    <pivotField numFmtId="10" showAll="0"/>
    <pivotField showAll="0"/>
    <pivotField dataField="1" numFmtId="44" showAll="0"/>
    <pivotField showAll="0"/>
    <pivotField numFmtId="44" showAll="0"/>
    <pivotField numFmtId="4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3">
    <field x="15"/>
    <field x="13"/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ontoDepositado" fld="8" baseField="0" baseItem="0" numFmtId="44"/>
  </dataFields>
  <formats count="2">
    <format dxfId="1">
      <pivotArea dataOnly="0" labelOnly="1" grandRow="1" outline="0" fieldPosition="0"/>
    </format>
    <format dxfId="0">
      <pivotArea dataOnly="0" labelOnly="1" fieldPosition="0">
        <references count="2">
          <reference field="13" count="4">
            <x v="5"/>
            <x v="6"/>
            <x v="7"/>
            <x v="8"/>
          </reference>
          <reference field="15" count="1" selected="0">
            <x v="5"/>
          </reference>
        </references>
      </pivotArea>
    </format>
  </format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704D4-5B64-4A87-826F-A27317E1535B}" name="TablaDiná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F2:G8" firstHeaderRow="1" firstDataRow="1" firstDataCol="1"/>
  <pivotFields count="16">
    <pivotField showAll="0"/>
    <pivotField showAll="0"/>
    <pivotField axis="axisRow" showAll="0">
      <items count="6">
        <item x="1"/>
        <item x="0"/>
        <item x="4"/>
        <item x="2"/>
        <item x="3"/>
        <item t="default"/>
      </items>
    </pivotField>
    <pivotField showAll="0">
      <items count="9">
        <item x="1"/>
        <item x="2"/>
        <item x="7"/>
        <item x="6"/>
        <item x="4"/>
        <item x="5"/>
        <item x="0"/>
        <item x="3"/>
        <item t="default"/>
      </items>
    </pivotField>
    <pivotField numFmtId="14" showAll="0">
      <items count="247">
        <item x="15"/>
        <item x="212"/>
        <item x="86"/>
        <item x="0"/>
        <item x="135"/>
        <item x="171"/>
        <item x="80"/>
        <item x="99"/>
        <item x="235"/>
        <item x="158"/>
        <item x="206"/>
        <item x="187"/>
        <item x="118"/>
        <item x="149"/>
        <item x="133"/>
        <item x="237"/>
        <item x="145"/>
        <item x="4"/>
        <item x="23"/>
        <item x="1"/>
        <item x="37"/>
        <item x="77"/>
        <item x="131"/>
        <item x="110"/>
        <item x="239"/>
        <item x="223"/>
        <item x="138"/>
        <item x="34"/>
        <item x="213"/>
        <item x="114"/>
        <item x="183"/>
        <item x="185"/>
        <item x="244"/>
        <item x="100"/>
        <item x="18"/>
        <item x="228"/>
        <item x="196"/>
        <item x="180"/>
        <item x="132"/>
        <item x="115"/>
        <item x="33"/>
        <item x="120"/>
        <item x="74"/>
        <item x="233"/>
        <item x="6"/>
        <item x="229"/>
        <item x="172"/>
        <item x="105"/>
        <item x="22"/>
        <item x="16"/>
        <item x="40"/>
        <item x="189"/>
        <item x="53"/>
        <item x="129"/>
        <item x="9"/>
        <item x="97"/>
        <item x="10"/>
        <item x="101"/>
        <item x="163"/>
        <item x="211"/>
        <item x="41"/>
        <item x="128"/>
        <item x="227"/>
        <item x="46"/>
        <item x="57"/>
        <item x="198"/>
        <item x="87"/>
        <item x="89"/>
        <item x="59"/>
        <item x="231"/>
        <item x="176"/>
        <item x="29"/>
        <item x="173"/>
        <item x="181"/>
        <item x="140"/>
        <item x="44"/>
        <item x="151"/>
        <item x="112"/>
        <item x="111"/>
        <item x="82"/>
        <item x="94"/>
        <item x="207"/>
        <item x="47"/>
        <item x="126"/>
        <item x="219"/>
        <item x="39"/>
        <item x="130"/>
        <item x="102"/>
        <item x="106"/>
        <item x="141"/>
        <item x="199"/>
        <item x="204"/>
        <item x="221"/>
        <item x="12"/>
        <item x="66"/>
        <item x="83"/>
        <item x="17"/>
        <item x="157"/>
        <item x="64"/>
        <item x="63"/>
        <item x="155"/>
        <item x="5"/>
        <item x="98"/>
        <item x="79"/>
        <item x="144"/>
        <item x="43"/>
        <item x="3"/>
        <item x="26"/>
        <item x="42"/>
        <item x="217"/>
        <item x="81"/>
        <item x="13"/>
        <item x="243"/>
        <item x="69"/>
        <item x="36"/>
        <item x="125"/>
        <item x="193"/>
        <item x="134"/>
        <item x="242"/>
        <item x="127"/>
        <item x="84"/>
        <item x="224"/>
        <item x="238"/>
        <item x="96"/>
        <item x="169"/>
        <item x="218"/>
        <item x="142"/>
        <item x="202"/>
        <item x="170"/>
        <item x="71"/>
        <item x="31"/>
        <item x="182"/>
        <item x="55"/>
        <item x="208"/>
        <item x="188"/>
        <item x="124"/>
        <item x="150"/>
        <item x="156"/>
        <item x="232"/>
        <item x="225"/>
        <item x="68"/>
        <item x="162"/>
        <item x="209"/>
        <item x="19"/>
        <item x="113"/>
        <item x="123"/>
        <item x="161"/>
        <item x="104"/>
        <item x="109"/>
        <item x="245"/>
        <item x="73"/>
        <item x="7"/>
        <item x="78"/>
        <item x="38"/>
        <item x="20"/>
        <item x="48"/>
        <item x="60"/>
        <item x="197"/>
        <item x="166"/>
        <item x="165"/>
        <item x="70"/>
        <item x="160"/>
        <item x="240"/>
        <item x="230"/>
        <item x="194"/>
        <item x="203"/>
        <item x="216"/>
        <item x="91"/>
        <item x="222"/>
        <item x="95"/>
        <item x="190"/>
        <item x="159"/>
        <item x="178"/>
        <item x="147"/>
        <item x="11"/>
        <item x="148"/>
        <item x="35"/>
        <item x="195"/>
        <item x="56"/>
        <item x="234"/>
        <item x="61"/>
        <item x="154"/>
        <item x="220"/>
        <item x="62"/>
        <item x="121"/>
        <item x="24"/>
        <item x="116"/>
        <item x="49"/>
        <item x="191"/>
        <item x="136"/>
        <item x="58"/>
        <item x="179"/>
        <item x="146"/>
        <item x="2"/>
        <item x="119"/>
        <item x="14"/>
        <item x="201"/>
        <item x="175"/>
        <item x="90"/>
        <item x="25"/>
        <item x="72"/>
        <item x="75"/>
        <item x="50"/>
        <item x="205"/>
        <item x="168"/>
        <item x="88"/>
        <item x="108"/>
        <item x="122"/>
        <item x="32"/>
        <item x="152"/>
        <item x="215"/>
        <item x="192"/>
        <item x="28"/>
        <item x="143"/>
        <item x="45"/>
        <item x="236"/>
        <item x="103"/>
        <item x="167"/>
        <item x="139"/>
        <item x="137"/>
        <item x="76"/>
        <item x="153"/>
        <item x="174"/>
        <item x="117"/>
        <item x="210"/>
        <item x="30"/>
        <item x="8"/>
        <item x="27"/>
        <item x="51"/>
        <item x="21"/>
        <item x="92"/>
        <item x="200"/>
        <item x="93"/>
        <item x="54"/>
        <item x="67"/>
        <item x="107"/>
        <item x="52"/>
        <item x="164"/>
        <item x="184"/>
        <item x="85"/>
        <item x="214"/>
        <item x="226"/>
        <item x="241"/>
        <item x="177"/>
        <item x="186"/>
        <item x="65"/>
        <item t="default"/>
      </items>
    </pivotField>
    <pivotField numFmtId="10" showAll="0"/>
    <pivotField numFmtId="10" showAll="0"/>
    <pivotField showAll="0"/>
    <pivotField dataField="1" numFmtId="44" showAll="0"/>
    <pivotField showAll="0"/>
    <pivotField numFmtId="44" showAll="0"/>
    <pivotField numFmtId="4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MontoDepositado" fld="8" baseField="0" baseItem="0" numFmtId="44"/>
  </dataField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E9FF4-B3DE-4167-91B1-ABFF3F9807C5}" name="TablaDiná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B2:C11" firstHeaderRow="1" firstDataRow="1" firstDataCol="1"/>
  <pivotFields count="16">
    <pivotField showAll="0"/>
    <pivotField showAll="0"/>
    <pivotField showAll="0">
      <items count="6">
        <item x="1"/>
        <item x="0"/>
        <item x="4"/>
        <item x="2"/>
        <item x="3"/>
        <item t="default"/>
      </items>
    </pivotField>
    <pivotField axis="axisRow" showAll="0">
      <items count="9">
        <item x="1"/>
        <item x="2"/>
        <item x="7"/>
        <item x="6"/>
        <item x="4"/>
        <item x="5"/>
        <item x="0"/>
        <item x="3"/>
        <item t="default"/>
      </items>
    </pivotField>
    <pivotField numFmtId="14" showAll="0">
      <items count="247">
        <item x="15"/>
        <item x="212"/>
        <item x="86"/>
        <item x="0"/>
        <item x="135"/>
        <item x="171"/>
        <item x="80"/>
        <item x="99"/>
        <item x="235"/>
        <item x="158"/>
        <item x="206"/>
        <item x="187"/>
        <item x="118"/>
        <item x="149"/>
        <item x="133"/>
        <item x="237"/>
        <item x="145"/>
        <item x="4"/>
        <item x="23"/>
        <item x="1"/>
        <item x="37"/>
        <item x="77"/>
        <item x="131"/>
        <item x="110"/>
        <item x="239"/>
        <item x="223"/>
        <item x="138"/>
        <item x="34"/>
        <item x="213"/>
        <item x="114"/>
        <item x="183"/>
        <item x="185"/>
        <item x="244"/>
        <item x="100"/>
        <item x="18"/>
        <item x="228"/>
        <item x="196"/>
        <item x="180"/>
        <item x="132"/>
        <item x="115"/>
        <item x="33"/>
        <item x="120"/>
        <item x="74"/>
        <item x="233"/>
        <item x="6"/>
        <item x="229"/>
        <item x="172"/>
        <item x="105"/>
        <item x="22"/>
        <item x="16"/>
        <item x="40"/>
        <item x="189"/>
        <item x="53"/>
        <item x="129"/>
        <item x="9"/>
        <item x="97"/>
        <item x="10"/>
        <item x="101"/>
        <item x="163"/>
        <item x="211"/>
        <item x="41"/>
        <item x="128"/>
        <item x="227"/>
        <item x="46"/>
        <item x="57"/>
        <item x="198"/>
        <item x="87"/>
        <item x="89"/>
        <item x="59"/>
        <item x="231"/>
        <item x="176"/>
        <item x="29"/>
        <item x="173"/>
        <item x="181"/>
        <item x="140"/>
        <item x="44"/>
        <item x="151"/>
        <item x="112"/>
        <item x="111"/>
        <item x="82"/>
        <item x="94"/>
        <item x="207"/>
        <item x="47"/>
        <item x="126"/>
        <item x="219"/>
        <item x="39"/>
        <item x="130"/>
        <item x="102"/>
        <item x="106"/>
        <item x="141"/>
        <item x="199"/>
        <item x="204"/>
        <item x="221"/>
        <item x="12"/>
        <item x="66"/>
        <item x="83"/>
        <item x="17"/>
        <item x="157"/>
        <item x="64"/>
        <item x="63"/>
        <item x="155"/>
        <item x="5"/>
        <item x="98"/>
        <item x="79"/>
        <item x="144"/>
        <item x="43"/>
        <item x="3"/>
        <item x="26"/>
        <item x="42"/>
        <item x="217"/>
        <item x="81"/>
        <item x="13"/>
        <item x="243"/>
        <item x="69"/>
        <item x="36"/>
        <item x="125"/>
        <item x="193"/>
        <item x="134"/>
        <item x="242"/>
        <item x="127"/>
        <item x="84"/>
        <item x="224"/>
        <item x="238"/>
        <item x="96"/>
        <item x="169"/>
        <item x="218"/>
        <item x="142"/>
        <item x="202"/>
        <item x="170"/>
        <item x="71"/>
        <item x="31"/>
        <item x="182"/>
        <item x="55"/>
        <item x="208"/>
        <item x="188"/>
        <item x="124"/>
        <item x="150"/>
        <item x="156"/>
        <item x="232"/>
        <item x="225"/>
        <item x="68"/>
        <item x="162"/>
        <item x="209"/>
        <item x="19"/>
        <item x="113"/>
        <item x="123"/>
        <item x="161"/>
        <item x="104"/>
        <item x="109"/>
        <item x="245"/>
        <item x="73"/>
        <item x="7"/>
        <item x="78"/>
        <item x="38"/>
        <item x="20"/>
        <item x="48"/>
        <item x="60"/>
        <item x="197"/>
        <item x="166"/>
        <item x="165"/>
        <item x="70"/>
        <item x="160"/>
        <item x="240"/>
        <item x="230"/>
        <item x="194"/>
        <item x="203"/>
        <item x="216"/>
        <item x="91"/>
        <item x="222"/>
        <item x="95"/>
        <item x="190"/>
        <item x="159"/>
        <item x="178"/>
        <item x="147"/>
        <item x="11"/>
        <item x="148"/>
        <item x="35"/>
        <item x="195"/>
        <item x="56"/>
        <item x="234"/>
        <item x="61"/>
        <item x="154"/>
        <item x="220"/>
        <item x="62"/>
        <item x="121"/>
        <item x="24"/>
        <item x="116"/>
        <item x="49"/>
        <item x="191"/>
        <item x="136"/>
        <item x="58"/>
        <item x="179"/>
        <item x="146"/>
        <item x="2"/>
        <item x="119"/>
        <item x="14"/>
        <item x="201"/>
        <item x="175"/>
        <item x="90"/>
        <item x="25"/>
        <item x="72"/>
        <item x="75"/>
        <item x="50"/>
        <item x="205"/>
        <item x="168"/>
        <item x="88"/>
        <item x="108"/>
        <item x="122"/>
        <item x="32"/>
        <item x="152"/>
        <item x="215"/>
        <item x="192"/>
        <item x="28"/>
        <item x="143"/>
        <item x="45"/>
        <item x="236"/>
        <item x="103"/>
        <item x="167"/>
        <item x="139"/>
        <item x="137"/>
        <item x="76"/>
        <item x="153"/>
        <item x="174"/>
        <item x="117"/>
        <item x="210"/>
        <item x="30"/>
        <item x="8"/>
        <item x="27"/>
        <item x="51"/>
        <item x="21"/>
        <item x="92"/>
        <item x="200"/>
        <item x="93"/>
        <item x="54"/>
        <item x="67"/>
        <item x="107"/>
        <item x="52"/>
        <item x="164"/>
        <item x="184"/>
        <item x="85"/>
        <item x="214"/>
        <item x="226"/>
        <item x="241"/>
        <item x="177"/>
        <item x="186"/>
        <item x="65"/>
        <item t="default"/>
      </items>
    </pivotField>
    <pivotField numFmtId="10" showAll="0"/>
    <pivotField numFmtId="10" showAll="0"/>
    <pivotField showAll="0"/>
    <pivotField dataField="1" numFmtId="44" showAll="0"/>
    <pivotField showAll="0"/>
    <pivotField numFmtId="44" showAll="0"/>
    <pivotField numFmtId="44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MontoDepositado" fld="8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CreditoID" xr10:uid="{361576A3-3FBD-47F8-98D5-B55CE161293D}" sourceName="TipoCreditoID">
  <pivotTables>
    <pivotTable tabId="13" name="TablaDinámica3"/>
    <pivotTable tabId="13" name="TablaDinámica2"/>
    <pivotTable tabId="13" name="TablaDinámica4"/>
    <pivotTable tabId="13" name="TablaDinámica9"/>
  </pivotTables>
  <data>
    <tabular pivotCacheId="1474927243">
      <items count="5">
        <i x="1" s="1"/>
        <i x="3" s="1"/>
        <i x="2" s="1"/>
        <i x="4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nciaID" xr10:uid="{3E9FD30E-0D0A-4A60-BA4F-6AE1983E24FC}" sourceName="AgenciaID">
  <pivotTables>
    <pivotTable tabId="13" name="TablaDinámica3"/>
  </pivotTables>
  <data>
    <tabular pivotCacheId="1474927243">
      <items count="8">
        <i x="0" s="1"/>
        <i x="5" s="1"/>
        <i x="6" s="1"/>
        <i x="3" s="1"/>
        <i x="2" s="1"/>
        <i x="1" s="1"/>
        <i x="7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DepositoID" xr10:uid="{E70061FF-ED99-45B2-A175-5DAC6D995B08}" sourceName="TipoDepositoID">
  <pivotTables>
    <pivotTable tabId="14" name="TablaDinámica5"/>
    <pivotTable tabId="14" name="TablaDinámica6"/>
    <pivotTable tabId="14" name="TablaDinámica7"/>
  </pivotTables>
  <data>
    <tabular pivotCacheId="1439226272">
      <items count="5">
        <i x="1" s="1"/>
        <i x="0" s="1"/>
        <i x="4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nciaID1" xr10:uid="{0A5EFBE3-29E3-47A6-BCD1-2AABB8981FD0}" sourceName="AgenciaID">
  <pivotTables>
    <pivotTable tabId="14" name="TablaDinámica5"/>
    <pivotTable tabId="14" name="TablaDinámica6"/>
    <pivotTable tabId="14" name="TablaDinámica7"/>
  </pivotTables>
  <data>
    <tabular pivotCacheId="1439226272">
      <items count="8">
        <i x="1" s="1"/>
        <i x="2" s="1"/>
        <i x="7" s="1"/>
        <i x="6" s="1"/>
        <i x="4" s="1"/>
        <i x="5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CreditoID" xr10:uid="{FA522DE8-3A13-46A1-9199-F267ACEB1036}" cache="SegmentaciónDeDatos_TipoCreditoID" caption="TipoCreditoID" style="SlicerStyleDark3" rowHeight="241300"/>
  <slicer name="AgenciaID" xr10:uid="{84F9484A-E9FD-4B82-B583-75A90ED938E8}" cache="SegmentaciónDeDatos_AgenciaID" caption="AgenciaID" style="SlicerStyleDark3" rowHeight="241300"/>
  <slicer name="TipoDepositoID" xr10:uid="{3C8024F5-20A9-4AB7-AD59-7C2369BB5F8C}" cache="SegmentaciónDeDatos_TipoDepositoID" caption="TipoDepositoID" style="SlicerStyleDark6" rowHeight="241300"/>
  <slicer name="AgenciaID 1" xr10:uid="{07E1A0C6-C597-4BB7-979B-83F58242CF22}" cache="SegmentaciónDeDatos_AgenciaID1" caption="AgenciaID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0BB204-1DDF-4865-9793-6E5DCBE8A2D1}" name="Tabla3" displayName="Tabla3" ref="A1:K251" totalsRowShown="0" headerRowDxfId="39" tableBorderDxfId="38">
  <autoFilter ref="A1:K251" xr:uid="{AD0BB204-1DDF-4865-9793-6E5DCBE8A2D1}"/>
  <tableColumns count="11">
    <tableColumn id="1" xr3:uid="{9445FD4C-F44F-4161-817C-63ADF7FBD26B}" name="ClienteID" dataDxfId="37"/>
    <tableColumn id="2" xr3:uid="{9AD2FC2F-88ED-44B4-9481-68AD4E2F487F}" name="DNI" dataDxfId="36"/>
    <tableColumn id="5" xr3:uid="{9BE87046-FB31-470F-A513-EB1A94C0935E}" name="Nombre Completo" dataDxfId="35"/>
    <tableColumn id="6" xr3:uid="{1B98007B-73FB-43A4-892B-2F4F3D27BC0A}" name="Correo" dataDxfId="34"/>
    <tableColumn id="7" xr3:uid="{3BD1025C-4C86-4FB2-97FE-0247D6D72150}" name="Distrito" dataDxfId="33"/>
    <tableColumn id="8" xr3:uid="{49E5F157-4F12-4BFE-9DA7-FC043FB840EE}" name="TipoCliente" dataDxfId="32"/>
    <tableColumn id="9" xr3:uid="{7245522B-2796-43AA-8217-BFA1570D6E6B}" name="AgenciaID" dataDxfId="31"/>
    <tableColumn id="10" xr3:uid="{7288B9FC-F31F-4428-9EDB-BB345BC90033}" name="FechaRegistro" dataDxfId="30"/>
    <tableColumn id="11" xr3:uid="{42FBC8EE-6758-48AE-9425-1439C01851D0}" name="TieneCreditoEnMora">
      <calculatedColumnFormula>IF(COUNTIFS(Creditos!B:B,A2,Creditos!R:R,"En mora")&gt;0,"Sí","No")</calculatedColumnFormula>
    </tableColumn>
    <tableColumn id="12" xr3:uid="{6E3AAB73-5389-44DA-9221-D9E97C351EF9}" name="TieneAlgunCredito">
      <calculatedColumnFormula>IF(COUNTIF(Creditos!B:B,A2)&gt;0,"Sí","No")</calculatedColumnFormula>
    </tableColumn>
    <tableColumn id="3" xr3:uid="{34842C71-99F7-4781-905D-95FA77EAFAA2}" name="TieneAlgunDeposito" dataDxfId="29">
      <calculatedColumnFormula>IF(COUNTIF(Depositos!B:B,A2)&gt;0,"Sí","No")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52E786-DA25-4AB8-BA80-F21682E27202}" name="Tabla1" displayName="Tabla1" ref="A1:S401" totalsRowShown="0" headerRowDxfId="28">
  <autoFilter ref="A1:S401" xr:uid="{7552E786-DA25-4AB8-BA80-F21682E27202}"/>
  <tableColumns count="19">
    <tableColumn id="1" xr3:uid="{0EE4784D-510C-4C65-9F1F-E01D945DE638}" name="CreditoID"/>
    <tableColumn id="2" xr3:uid="{01E0C650-6909-4AF0-BE49-7A955282E386}" name="ClienteID"/>
    <tableColumn id="3" xr3:uid="{B09833B8-7E01-4D6A-8898-0A64D33DD811}" name="TipoCreditoID" dataDxfId="27"/>
    <tableColumn id="4" xr3:uid="{EB5B1033-C160-4105-AEE2-41D3038BBC0C}" name="AgenciaID" dataDxfId="26">
      <calculatedColumnFormula>_xlfn.XLOOKUP(B2,Clientes!A:A,Clientes!G:G,"No encontrado",0)</calculatedColumnFormula>
    </tableColumn>
    <tableColumn id="5" xr3:uid="{B6ACA016-C54A-4C17-8D01-F72C8C69A228}" name="FechaDesembolso" dataDxfId="25"/>
    <tableColumn id="6" xr3:uid="{3F3BCAE0-39AF-47CB-AEAA-CBD06D954DBB}" name="MontoDesembolsado" dataDxfId="24" dataCellStyle="Moneda"/>
    <tableColumn id="7" xr3:uid="{C842CFA7-32B1-4C97-9FA7-A518DE751869}" name="TEA" dataDxfId="23" dataCellStyle="Porcentaje"/>
    <tableColumn id="8" xr3:uid="{E9A8A81D-0911-4A37-AC42-E2999C05DDC7}" name="TEM" dataDxfId="22" dataCellStyle="Porcentaje">
      <calculatedColumnFormula>(1+G2)^(1/12)-1</calculatedColumnFormula>
    </tableColumn>
    <tableColumn id="9" xr3:uid="{5FD178B8-F96A-4977-8F7B-0D31FA983962}" name="Plazos (Meses)"/>
    <tableColumn id="10" xr3:uid="{8DDAC2A1-3B75-4AF6-A82C-8A294A9CEAAF}" name="Cuota Mensual" dataDxfId="21">
      <calculatedColumnFormula>PMT(H2,I2,-F2,,)</calculatedColumnFormula>
    </tableColumn>
    <tableColumn id="11" xr3:uid="{1925A5FF-544D-4004-8F37-00C19C18552E}" name="Plazo transcurrido">
      <calculatedColumnFormula>IF(N2="SI",O2,MIN(DATEDIF(E2,TODAY(),"m"),I2))</calculatedColumnFormula>
    </tableColumn>
    <tableColumn id="19" xr3:uid="{B36FE7B3-E0EA-4AAA-AC5B-0EBC0A3B00D1}" name="Plazo real transcurrido" dataDxfId="20">
      <calculatedColumnFormula>MIN(DATEDIF(Tabla1[[#This Row],[FechaDesembolso]],TODAY(),"m"),Tabla1[[#This Row],[Plazos (Meses)]])</calculatedColumnFormula>
    </tableColumn>
    <tableColumn id="12" xr3:uid="{4A096FB3-7349-4390-8829-4D5E8F919EC3}" name="Plazo restante">
      <calculatedColumnFormula>I2-K2</calculatedColumnFormula>
    </tableColumn>
    <tableColumn id="13" xr3:uid="{399D312C-EFD8-422A-94EB-A60E8236D61E}" name="En Mora" dataDxfId="19"/>
    <tableColumn id="14" xr3:uid="{A8FCB35B-A464-4E40-8F3F-1A58F7BA2B7D}" name="Mes de Mora" dataDxfId="18"/>
    <tableColumn id="15" xr3:uid="{827CF5F4-9CF4-4A29-B8D0-EBA9A182D802}" name="Saldo Pendiente" dataDxfId="17" dataCellStyle="Moneda">
      <calculatedColumnFormula>IF(M2=0,0,PV(H2,I2,-J2))</calculatedColumnFormula>
    </tableColumn>
    <tableColumn id="17" xr3:uid="{736826F2-7E8A-4540-BDA0-932244A6A7F8}" name="Interés Devengado" dataDxfId="16" dataCellStyle="Moneda">
      <calculatedColumnFormula>IF(Tabla1[[#This Row],[Plazo restante]]=0,0,(Tabla1[[#This Row],[Cuota Mensual]]*Tabla1[[#This Row],[Plazos (Meses)]]-Tabla1[[#This Row],[MontoDesembolsado]])*(Tabla1[[#This Row],[Plazo transcurrido]]/Tabla1[[#This Row],[Plazos (Meses)]]))</calculatedColumnFormula>
    </tableColumn>
    <tableColumn id="16" xr3:uid="{AB6D70A7-4FAB-4FAD-B740-7C39DF600430}" name="Estado" dataDxfId="15">
      <calculatedColumnFormula>IF(N2="SI","En mora",IF(K2&gt;=I2,"Cancelado","Vigente"))</calculatedColumnFormula>
    </tableColumn>
    <tableColumn id="18" xr3:uid="{E76D403D-E69D-44CD-A12C-CA968A67FCD2}" name="TiempoEnMora (Días)" dataDxfId="14">
      <calculatedColumnFormula>IF(Tabla1[[#This Row],[En Mora]]="No","",EDATE(Tabla1[[#This Row],[FechaDesembolso]],Tabla1[[#This Row],[Mes de Mora]]))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372B60-A9B2-4652-AABD-24238F0ACB68}" name="Tabla2" displayName="Tabla2" ref="A1:M301" totalsRowShown="0" headerRowDxfId="13">
  <autoFilter ref="A1:M301" xr:uid="{99372B60-A9B2-4652-AABD-24238F0ACB68}"/>
  <tableColumns count="13">
    <tableColumn id="1" xr3:uid="{5FA8FB45-FCA3-49FF-95C5-27E9F9B71930}" name="DepositoID"/>
    <tableColumn id="2" xr3:uid="{5C759A02-E946-4909-947E-D8511C64FF1E}" name="ClienteID"/>
    <tableColumn id="3" xr3:uid="{8A3B463F-4A84-4695-B959-50405B67DD54}" name="TipoDepositoID" dataDxfId="12"/>
    <tableColumn id="4" xr3:uid="{70490FCC-F26A-4168-9B3A-D12ED105CD6A}" name="AgenciaID" dataDxfId="11">
      <calculatedColumnFormula>_xlfn.XLOOKUP(Tabla2[[#This Row],[ClienteID]],Clientes!A:A,Clientes!G:G,"No encontrado",0)</calculatedColumnFormula>
    </tableColumn>
    <tableColumn id="5" xr3:uid="{432B2E38-0FC2-4200-9D03-39E830628E50}" name="FechaApertura" dataDxfId="10"/>
    <tableColumn id="6" xr3:uid="{EBE8B21B-49C9-4448-9FDB-0D0C6F229F66}" name="TEA" dataDxfId="9" dataCellStyle="Porcentaje"/>
    <tableColumn id="7" xr3:uid="{DF7586A0-7BFE-4B02-AEB9-40B87C37C74E}" name="TEM" dataDxfId="8" dataCellStyle="Porcentaje">
      <calculatedColumnFormula>(1+F2)^(1/12)-1</calculatedColumnFormula>
    </tableColumn>
    <tableColumn id="8" xr3:uid="{83297D16-31B2-46C3-8CE5-DA0F9ED61D45}" name="Plazo (Meses)" dataDxfId="7"/>
    <tableColumn id="9" xr3:uid="{E7BFA981-2202-4196-8768-2C2BCDA32258}" name="MontoDepositado" dataDxfId="6" dataCellStyle="Moneda"/>
    <tableColumn id="10" xr3:uid="{817C0933-A507-4D60-B6C7-1C0182B81620}" name="FechaVencimiento" dataDxfId="5">
      <calculatedColumnFormula>IF(H2=0,"",EDATE(E2,H2))</calculatedColumnFormula>
    </tableColumn>
    <tableColumn id="11" xr3:uid="{3D63ED5C-6042-4AB9-AF3C-27E2A3331F41}" name="SaldoActual" dataDxfId="4" dataCellStyle="Moneda">
      <calculatedColumnFormula>IF(C2="TD01",I2*(1+G2)^DATEDIF(E2,TODAY(),"m"),I2*(1+G2)^MIN(DATEDIF(E2,TODAY(),"m"),H2))</calculatedColumnFormula>
    </tableColumn>
    <tableColumn id="13" xr3:uid="{3ECC9785-9ADA-41E2-A525-235DB60691FF}" name="Interés Pagado" dataDxfId="3" dataCellStyle="Moneda">
      <calculatedColumnFormula>Tabla2[[#This Row],[SaldoActual]]-Tabla2[[#This Row],[MontoDepositado]]</calculatedColumnFormula>
    </tableColumn>
    <tableColumn id="12" xr3:uid="{0AB725BC-F2EB-4B20-83BD-5AF65B703DCE}" name="Estado" dataDxfId="2">
      <calculatedColumnFormula>IF(H2=0,"Vigente",IF(TODAY()&gt;J2,"Vencido","Vigente"))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D65FE-8A15-4001-8922-F0426D9A5D7F}">
  <sheetPr codeName="Hoja1"/>
  <dimension ref="C2:T2"/>
  <sheetViews>
    <sheetView zoomScale="80" zoomScaleNormal="80" workbookViewId="0">
      <selection activeCell="D20" sqref="D20"/>
    </sheetView>
  </sheetViews>
  <sheetFormatPr baseColWidth="10" defaultRowHeight="15" x14ac:dyDescent="0.25"/>
  <cols>
    <col min="1" max="1" width="11.42578125" style="54"/>
    <col min="2" max="2" width="6.5703125" style="54" customWidth="1"/>
    <col min="3" max="3" width="18.28515625" style="54" bestFit="1" customWidth="1"/>
    <col min="4" max="4" width="26" style="54" bestFit="1" customWidth="1"/>
    <col min="5" max="5" width="13.28515625" style="54" customWidth="1"/>
    <col min="6" max="6" width="16.5703125" style="54" customWidth="1"/>
    <col min="7" max="7" width="25.85546875" style="54" bestFit="1" customWidth="1"/>
    <col min="8" max="8" width="11.42578125" style="54" bestFit="1" customWidth="1"/>
    <col min="9" max="10" width="11.42578125" style="54"/>
    <col min="11" max="11" width="24.28515625" style="54" customWidth="1"/>
    <col min="12" max="12" width="11.42578125" style="54"/>
    <col min="13" max="13" width="10.42578125" style="54" customWidth="1"/>
    <col min="14" max="14" width="9.85546875" style="54" customWidth="1"/>
    <col min="15" max="15" width="13.42578125" style="54" bestFit="1" customWidth="1"/>
    <col min="16" max="16" width="11.42578125" style="54"/>
    <col min="17" max="17" width="7.140625" style="54" customWidth="1"/>
    <col min="18" max="18" width="8.28515625" style="54" customWidth="1"/>
    <col min="19" max="19" width="25.7109375" style="54" bestFit="1" customWidth="1"/>
    <col min="20" max="20" width="12.7109375" style="54" bestFit="1" customWidth="1"/>
    <col min="21" max="16384" width="11.42578125" style="54"/>
  </cols>
  <sheetData>
    <row r="2" spans="3:20" customFormat="1" ht="21" thickBot="1" x14ac:dyDescent="0.35">
      <c r="C2" s="44" t="s">
        <v>1563</v>
      </c>
      <c r="D2" s="45">
        <f ca="1">KPIs!E4</f>
        <v>21497538</v>
      </c>
      <c r="E2" s="54"/>
      <c r="F2" s="54"/>
      <c r="G2" s="46" t="s">
        <v>1567</v>
      </c>
      <c r="H2" s="47">
        <f ca="1">KPIs!E5</f>
        <v>0.15987095824647449</v>
      </c>
      <c r="I2" s="54"/>
      <c r="J2" s="54"/>
      <c r="K2" s="48" t="s">
        <v>1568</v>
      </c>
      <c r="L2" s="49">
        <f ca="1">KPIs!E11</f>
        <v>0.35422744688252206</v>
      </c>
      <c r="M2" s="54"/>
      <c r="N2" s="54"/>
      <c r="O2" s="50" t="s">
        <v>1623</v>
      </c>
      <c r="P2" s="51">
        <f>KPIs!E13</f>
        <v>0.26250105492611447</v>
      </c>
      <c r="Q2" s="54"/>
      <c r="R2" s="54"/>
      <c r="S2" s="52" t="s">
        <v>1622</v>
      </c>
      <c r="T2" s="53">
        <f ca="1">KPIs!E14</f>
        <v>0.94056306538486789</v>
      </c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5D07E-F4C7-4AF5-A75A-299C43A27F34}">
  <sheetPr codeName="Hoja2"/>
  <dimension ref="D2:E22"/>
  <sheetViews>
    <sheetView topLeftCell="A3" zoomScale="90" zoomScaleNormal="90" workbookViewId="0">
      <selection activeCell="F20" sqref="F20"/>
    </sheetView>
  </sheetViews>
  <sheetFormatPr baseColWidth="10" defaultRowHeight="15" x14ac:dyDescent="0.25"/>
  <cols>
    <col min="1" max="3" width="11.42578125" style="54"/>
    <col min="4" max="4" width="26" style="54" bestFit="1" customWidth="1"/>
    <col min="5" max="5" width="24.7109375" style="54" customWidth="1"/>
    <col min="6" max="16384" width="11.42578125" style="54"/>
  </cols>
  <sheetData>
    <row r="2" spans="4:5" ht="16.5" x14ac:dyDescent="0.3">
      <c r="D2" s="61" t="s">
        <v>1582</v>
      </c>
      <c r="E2" s="62"/>
    </row>
    <row r="3" spans="4:5" x14ac:dyDescent="0.25">
      <c r="D3" s="14" t="s">
        <v>1564</v>
      </c>
      <c r="E3" s="15">
        <f ca="1">SUMIF(Tabla1[En Mora],"SI",Tabla1[Saldo Pendiente])</f>
        <v>3436831.9999999986</v>
      </c>
    </row>
    <row r="4" spans="4:5" x14ac:dyDescent="0.25">
      <c r="D4" s="14" t="s">
        <v>1563</v>
      </c>
      <c r="E4" s="15">
        <f ca="1">SUM(Tabla1[Saldo Pendiente])</f>
        <v>21497538</v>
      </c>
    </row>
    <row r="5" spans="4:5" x14ac:dyDescent="0.25">
      <c r="D5" s="14" t="s">
        <v>1567</v>
      </c>
      <c r="E5" s="17">
        <f ca="1">E3/E4</f>
        <v>0.15987095824647449</v>
      </c>
    </row>
    <row r="6" spans="4:5" x14ac:dyDescent="0.25">
      <c r="D6" s="14" t="s">
        <v>1569</v>
      </c>
      <c r="E6" s="15">
        <f>SUM(Depositos!I:I)</f>
        <v>7615018</v>
      </c>
    </row>
    <row r="7" spans="4:5" x14ac:dyDescent="0.25">
      <c r="D7" s="14" t="s">
        <v>1583</v>
      </c>
      <c r="E7" s="14">
        <f ca="1">COUNTIF(Creditos!R:R,"Vigente")</f>
        <v>276</v>
      </c>
    </row>
    <row r="8" spans="4:5" x14ac:dyDescent="0.25">
      <c r="D8" s="14" t="s">
        <v>1584</v>
      </c>
      <c r="E8" s="14">
        <f ca="1">COUNTIF(Creditos!R:R,"En mora")</f>
        <v>56</v>
      </c>
    </row>
    <row r="10" spans="4:5" ht="16.5" x14ac:dyDescent="0.3">
      <c r="D10" s="63" t="s">
        <v>1575</v>
      </c>
      <c r="E10" s="63"/>
    </row>
    <row r="11" spans="4:5" x14ac:dyDescent="0.25">
      <c r="D11" s="14" t="s">
        <v>1568</v>
      </c>
      <c r="E11" s="16">
        <f ca="1">E6/E4</f>
        <v>0.35422744688252206</v>
      </c>
    </row>
    <row r="12" spans="4:5" x14ac:dyDescent="0.25">
      <c r="D12" s="14" t="s">
        <v>1579</v>
      </c>
      <c r="E12" s="16">
        <f ca="1">SUMIF(Creditos!R:R,"&lt;&gt;Cancelado",Creditos!P:P)/SUM(Depositos!K:K)</f>
        <v>2.7801216418573076</v>
      </c>
    </row>
    <row r="13" spans="4:5" x14ac:dyDescent="0.25">
      <c r="D13" s="14" t="s">
        <v>1580</v>
      </c>
      <c r="E13" s="16">
        <f>6000000/SUM(Tabla1[MontoDesembolsado])</f>
        <v>0.26250105492611447</v>
      </c>
    </row>
    <row r="14" spans="4:5" x14ac:dyDescent="0.25">
      <c r="D14" s="14" t="s">
        <v>1578</v>
      </c>
      <c r="E14" s="17">
        <f ca="1">(SUM(Creditos!Q:Q)-SUM(Depositos!L:L))/SUM(Creditos!Q:Q)</f>
        <v>0.94056306538486789</v>
      </c>
    </row>
    <row r="15" spans="4:5" x14ac:dyDescent="0.25">
      <c r="D15" s="14" t="s">
        <v>1565</v>
      </c>
      <c r="E15" s="17">
        <f ca="1">(SUM(Tabla1[Interés Devengado])-SUM(Tabla2[Interés Pagado]))/(SUM(Tabla1[MontoDesembolsado]))</f>
        <v>8.1397580714613921E-2</v>
      </c>
    </row>
    <row r="16" spans="4:5" x14ac:dyDescent="0.25">
      <c r="D16" s="14" t="s">
        <v>1566</v>
      </c>
      <c r="E16" s="17">
        <f ca="1">(SUM(Tabla1[Interés Devengado])-SUM(Tabla2[Interés Pagado]))/(6000000)</f>
        <v>0.31008477561175779</v>
      </c>
    </row>
    <row r="18" spans="4:5" ht="16.5" x14ac:dyDescent="0.3">
      <c r="D18" s="64" t="s">
        <v>1581</v>
      </c>
      <c r="E18" s="64"/>
    </row>
    <row r="19" spans="4:5" x14ac:dyDescent="0.25">
      <c r="D19" s="14" t="s">
        <v>1570</v>
      </c>
      <c r="E19" s="14" t="str">
        <f ca="1">_xlfn.XLOOKUP(INDEX(Creditos!B:B,MATCH(MAX(Creditos!S:S),Creditos!S:S,0)),Clientes!A:A,Clientes!C:C,"Error",0)</f>
        <v>Karla Flores Reyes</v>
      </c>
    </row>
    <row r="20" spans="4:5" x14ac:dyDescent="0.25">
      <c r="D20" s="14" t="s">
        <v>1573</v>
      </c>
      <c r="E20" s="14" t="str">
        <f ca="1">_xlfn.XLOOKUP(INDEX(Creditos!B:B,MATCH(MIN(Creditos!S:S),Creditos!S:S,0)),Clientes!A:A,Clientes!C:C,"Error",0)</f>
        <v>Adriana Rodríguez Reyes</v>
      </c>
    </row>
    <row r="21" spans="4:5" x14ac:dyDescent="0.25">
      <c r="D21" s="14" t="s">
        <v>1574</v>
      </c>
      <c r="E21" s="14">
        <f ca="1">COUNTIF(Clientes!I:I,"Sí")</f>
        <v>47</v>
      </c>
    </row>
    <row r="22" spans="4:5" x14ac:dyDescent="0.25">
      <c r="D22" s="14" t="s">
        <v>1585</v>
      </c>
      <c r="E22" s="14">
        <f ca="1">COUNTIFS(Clientes!J:J,"Sí",Clientes!I:I,"No")</f>
        <v>158</v>
      </c>
    </row>
  </sheetData>
  <mergeCells count="3">
    <mergeCell ref="D2:E2"/>
    <mergeCell ref="D10:E10"/>
    <mergeCell ref="D18:E18"/>
  </mergeCells>
  <conditionalFormatting sqref="E11">
    <cfRule type="iconSet" priority="9">
      <iconSet>
        <cfvo type="percent" val="0"/>
        <cfvo type="num" val="0.25"/>
        <cfvo type="num" val="0.75"/>
      </iconSet>
    </cfRule>
  </conditionalFormatting>
  <conditionalFormatting sqref="E12">
    <cfRule type="iconSet" priority="8">
      <iconSet>
        <cfvo type="percent" val="0"/>
        <cfvo type="num" val="0.5"/>
        <cfvo type="num" val="1"/>
      </iconSet>
    </cfRule>
  </conditionalFormatting>
  <conditionalFormatting sqref="E13">
    <cfRule type="iconSet" priority="7">
      <iconSet>
        <cfvo type="percent" val="0"/>
        <cfvo type="num" val="0.1"/>
        <cfvo type="num" val="0.2"/>
      </iconSet>
    </cfRule>
  </conditionalFormatting>
  <conditionalFormatting sqref="E14">
    <cfRule type="iconSet" priority="6">
      <iconSet>
        <cfvo type="percent" val="0"/>
        <cfvo type="percent" val="0.2"/>
        <cfvo type="percent" val="0.45"/>
      </iconSet>
    </cfRule>
  </conditionalFormatting>
  <conditionalFormatting sqref="E15">
    <cfRule type="iconSet" priority="5">
      <iconSet>
        <cfvo type="percent" val="0"/>
        <cfvo type="percent" val="2.5"/>
        <cfvo type="percent" val="10"/>
      </iconSet>
    </cfRule>
  </conditionalFormatting>
  <conditionalFormatting sqref="E16">
    <cfRule type="iconSet" priority="4">
      <iconSet>
        <cfvo type="percent" val="0"/>
        <cfvo type="percent" val="33"/>
        <cfvo type="percent" val="67"/>
      </iconSet>
    </cfRule>
  </conditionalFormatting>
  <conditionalFormatting sqref="E22">
    <cfRule type="iconSet" priority="1">
      <iconSet iconSet="3Symbols">
        <cfvo type="percent" val="0"/>
        <cfvo type="num" val="75"/>
        <cfvo type="num" val="150"/>
      </iconSe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24E9C9C-EBBF-4799-9B3D-DD34DD802580}">
            <x14:iconSet iconSet="3Flags" custom="1">
              <x14:cfvo type="percent">
                <xm:f>0</xm:f>
              </x14:cfvo>
              <x14:cfvo type="num">
                <xm:f>0.15</xm:f>
              </x14:cfvo>
              <x14:cfvo type="num">
                <xm:f>0.25</xm:f>
              </x14:cfvo>
              <x14:cfIcon iconSet="3Flags" iconId="2"/>
              <x14:cfIcon iconSet="3Flags" iconId="1"/>
              <x14:cfIcon iconSet="3Flags" iconId="0"/>
            </x14:iconSet>
          </x14:cfRule>
          <xm:sqref>E5</xm:sqref>
        </x14:conditionalFormatting>
        <x14:conditionalFormatting xmlns:xm="http://schemas.microsoft.com/office/excel/2006/main">
          <x14:cfRule type="iconSet" priority="2" id="{6DFD3EC2-D55A-437C-9605-68E676D83936}">
            <x14:iconSet iconSet="3Triangles" custom="1">
              <x14:cfvo type="percent">
                <xm:f>0</xm:f>
              </x14:cfvo>
              <x14:cfvo type="num">
                <xm:f>20</xm:f>
              </x14:cfvo>
              <x14:cfvo type="num">
                <xm:f>45</xm:f>
              </x14:cfvo>
              <x14:cfIcon iconSet="3Symbols" iconId="2"/>
              <x14:cfIcon iconSet="3Symbols" iconId="1"/>
              <x14:cfIcon iconSet="3Symbols" iconId="0"/>
            </x14:iconSet>
          </x14:cfRule>
          <xm:sqref>E21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C9"/>
  <sheetViews>
    <sheetView workbookViewId="0">
      <pane ySplit="1" topLeftCell="A2" activePane="bottomLeft" state="frozen"/>
      <selection pane="bottomLeft" activeCell="C16" sqref="C16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14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 t="s">
        <v>4</v>
      </c>
      <c r="C2" s="2" t="s">
        <v>5</v>
      </c>
    </row>
    <row r="3" spans="1:3" x14ac:dyDescent="0.25">
      <c r="A3" s="2" t="s">
        <v>6</v>
      </c>
      <c r="B3" s="2" t="s">
        <v>7</v>
      </c>
      <c r="C3" s="2" t="s">
        <v>5</v>
      </c>
    </row>
    <row r="4" spans="1:3" x14ac:dyDescent="0.25">
      <c r="A4" s="2" t="s">
        <v>8</v>
      </c>
      <c r="B4" s="2" t="s">
        <v>9</v>
      </c>
      <c r="C4" s="2" t="s">
        <v>10</v>
      </c>
    </row>
    <row r="5" spans="1:3" x14ac:dyDescent="0.25">
      <c r="A5" s="2" t="s">
        <v>11</v>
      </c>
      <c r="B5" s="2" t="s">
        <v>12</v>
      </c>
      <c r="C5" s="2" t="s">
        <v>13</v>
      </c>
    </row>
    <row r="6" spans="1:3" x14ac:dyDescent="0.25">
      <c r="A6" s="2" t="s">
        <v>14</v>
      </c>
      <c r="B6" s="2" t="s">
        <v>15</v>
      </c>
      <c r="C6" s="2" t="s">
        <v>16</v>
      </c>
    </row>
    <row r="7" spans="1:3" x14ac:dyDescent="0.25">
      <c r="A7" s="2" t="s">
        <v>17</v>
      </c>
      <c r="B7" s="2" t="s">
        <v>18</v>
      </c>
      <c r="C7" s="2" t="s">
        <v>18</v>
      </c>
    </row>
    <row r="8" spans="1:3" x14ac:dyDescent="0.25">
      <c r="A8" s="2" t="s">
        <v>19</v>
      </c>
      <c r="B8" s="2" t="s">
        <v>20</v>
      </c>
      <c r="C8" s="2" t="s">
        <v>20</v>
      </c>
    </row>
    <row r="9" spans="1:3" x14ac:dyDescent="0.25">
      <c r="A9" s="2" t="s">
        <v>21</v>
      </c>
      <c r="B9" s="2" t="s">
        <v>22</v>
      </c>
      <c r="C9" s="2" t="s">
        <v>23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H6"/>
  <sheetViews>
    <sheetView workbookViewId="0">
      <pane ySplit="1" topLeftCell="A2" activePane="bottomLeft" state="frozen"/>
      <selection pane="bottomLeft" activeCell="E22" sqref="E22"/>
    </sheetView>
  </sheetViews>
  <sheetFormatPr baseColWidth="10" defaultColWidth="9.140625" defaultRowHeight="15" x14ac:dyDescent="0.25"/>
  <cols>
    <col min="1" max="1" width="16" customWidth="1"/>
    <col min="2" max="2" width="23" customWidth="1"/>
    <col min="3" max="4" width="12" customWidth="1"/>
    <col min="5" max="5" width="17.140625" bestFit="1" customWidth="1"/>
    <col min="6" max="6" width="17.5703125" bestFit="1" customWidth="1"/>
    <col min="7" max="8" width="12" customWidth="1"/>
  </cols>
  <sheetData>
    <row r="1" spans="1:8" x14ac:dyDescent="0.25">
      <c r="A1" s="1" t="s">
        <v>24</v>
      </c>
      <c r="B1" s="1" t="s">
        <v>1571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25">
      <c r="A2" s="2" t="s">
        <v>31</v>
      </c>
      <c r="B2" s="2" t="s">
        <v>32</v>
      </c>
      <c r="C2" s="3">
        <v>0.35</v>
      </c>
      <c r="D2" s="3">
        <v>0.55000000000000004</v>
      </c>
      <c r="E2" s="2">
        <v>6</v>
      </c>
      <c r="F2" s="2">
        <v>36</v>
      </c>
      <c r="G2" s="4">
        <v>500</v>
      </c>
      <c r="H2" s="4">
        <v>15000</v>
      </c>
    </row>
    <row r="3" spans="1:8" x14ac:dyDescent="0.25">
      <c r="A3" s="2" t="s">
        <v>33</v>
      </c>
      <c r="B3" s="2" t="s">
        <v>34</v>
      </c>
      <c r="C3" s="3">
        <v>0.25</v>
      </c>
      <c r="D3" s="3">
        <v>0.45</v>
      </c>
      <c r="E3" s="2">
        <v>6</v>
      </c>
      <c r="F3" s="2">
        <v>48</v>
      </c>
      <c r="G3" s="4">
        <v>1000</v>
      </c>
      <c r="H3" s="4">
        <v>50000</v>
      </c>
    </row>
    <row r="4" spans="1:8" x14ac:dyDescent="0.25">
      <c r="A4" s="2" t="s">
        <v>35</v>
      </c>
      <c r="B4" s="2" t="s">
        <v>36</v>
      </c>
      <c r="C4" s="3">
        <v>0.2</v>
      </c>
      <c r="D4" s="3">
        <v>0.35</v>
      </c>
      <c r="E4" s="2">
        <v>12</v>
      </c>
      <c r="F4" s="2">
        <v>60</v>
      </c>
      <c r="G4" s="4">
        <v>5000</v>
      </c>
      <c r="H4" s="4">
        <v>100000</v>
      </c>
    </row>
    <row r="5" spans="1:8" x14ac:dyDescent="0.25">
      <c r="A5" s="2" t="s">
        <v>37</v>
      </c>
      <c r="B5" s="2" t="s">
        <v>38</v>
      </c>
      <c r="C5" s="3">
        <v>0.09</v>
      </c>
      <c r="D5" s="3">
        <v>0.14000000000000001</v>
      </c>
      <c r="E5" s="2">
        <v>60</v>
      </c>
      <c r="F5" s="2">
        <v>240</v>
      </c>
      <c r="G5" s="4">
        <v>30000</v>
      </c>
      <c r="H5" s="4">
        <v>300000</v>
      </c>
    </row>
    <row r="6" spans="1:8" x14ac:dyDescent="0.25">
      <c r="A6" s="2" t="s">
        <v>39</v>
      </c>
      <c r="B6" s="2" t="s">
        <v>40</v>
      </c>
      <c r="C6" s="3">
        <v>0.22</v>
      </c>
      <c r="D6" s="3">
        <v>0.38</v>
      </c>
      <c r="E6" s="2">
        <v>6</v>
      </c>
      <c r="F6" s="2">
        <v>24</v>
      </c>
      <c r="G6" s="4">
        <v>1000</v>
      </c>
      <c r="H6" s="4">
        <v>20000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E6"/>
  <sheetViews>
    <sheetView workbookViewId="0">
      <pane ySplit="1" topLeftCell="A2" activePane="bottomLeft" state="frozen"/>
      <selection pane="bottomLeft" activeCell="B2" sqref="B2"/>
    </sheetView>
  </sheetViews>
  <sheetFormatPr baseColWidth="10" defaultColWidth="9.140625" defaultRowHeight="15" x14ac:dyDescent="0.25"/>
  <cols>
    <col min="1" max="1" width="17" customWidth="1"/>
    <col min="2" max="2" width="33" customWidth="1"/>
    <col min="3" max="3" width="16.42578125" bestFit="1" customWidth="1"/>
    <col min="4" max="4" width="16.85546875" bestFit="1" customWidth="1"/>
    <col min="5" max="5" width="13.28515625" bestFit="1" customWidth="1"/>
  </cols>
  <sheetData>
    <row r="1" spans="1:5" x14ac:dyDescent="0.25">
      <c r="A1" s="1" t="s">
        <v>41</v>
      </c>
      <c r="B1" s="1" t="s">
        <v>1571</v>
      </c>
      <c r="C1" s="1" t="s">
        <v>42</v>
      </c>
      <c r="D1" s="1" t="s">
        <v>43</v>
      </c>
      <c r="E1" s="1" t="s">
        <v>44</v>
      </c>
    </row>
    <row r="2" spans="1:5" x14ac:dyDescent="0.25">
      <c r="A2" s="2" t="s">
        <v>45</v>
      </c>
      <c r="B2" s="2" t="s">
        <v>1561</v>
      </c>
      <c r="C2" s="3">
        <v>5.0000000000000001E-3</v>
      </c>
      <c r="D2" s="3">
        <v>1.4999999999999999E-2</v>
      </c>
      <c r="E2" s="2">
        <v>0</v>
      </c>
    </row>
    <row r="3" spans="1:5" x14ac:dyDescent="0.25">
      <c r="A3" s="2" t="s">
        <v>46</v>
      </c>
      <c r="B3" s="2" t="s">
        <v>47</v>
      </c>
      <c r="C3" s="3">
        <v>0.03</v>
      </c>
      <c r="D3" s="3">
        <v>0.04</v>
      </c>
      <c r="E3" s="2">
        <v>3</v>
      </c>
    </row>
    <row r="4" spans="1:5" x14ac:dyDescent="0.25">
      <c r="A4" s="2" t="s">
        <v>48</v>
      </c>
      <c r="B4" s="2" t="s">
        <v>49</v>
      </c>
      <c r="C4" s="3">
        <v>0.04</v>
      </c>
      <c r="D4" s="3">
        <v>0.05</v>
      </c>
      <c r="E4" s="2">
        <v>6</v>
      </c>
    </row>
    <row r="5" spans="1:5" x14ac:dyDescent="0.25">
      <c r="A5" s="2" t="s">
        <v>50</v>
      </c>
      <c r="B5" s="2" t="s">
        <v>51</v>
      </c>
      <c r="C5" s="3">
        <v>5.5E-2</v>
      </c>
      <c r="D5" s="3">
        <v>7.0000000000000007E-2</v>
      </c>
      <c r="E5" s="2">
        <v>12</v>
      </c>
    </row>
    <row r="6" spans="1:5" x14ac:dyDescent="0.25">
      <c r="A6" s="2" t="s">
        <v>52</v>
      </c>
      <c r="B6" s="2" t="s">
        <v>53</v>
      </c>
      <c r="C6" s="3">
        <v>0.03</v>
      </c>
      <c r="D6" s="3">
        <v>4.4999999999999998E-2</v>
      </c>
      <c r="E6" s="2">
        <v>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K251"/>
  <sheetViews>
    <sheetView topLeftCell="D1" zoomScale="80" workbookViewId="0">
      <pane ySplit="1" topLeftCell="A5" activePane="bottomLeft" state="frozen"/>
      <selection pane="bottomLeft" activeCell="Q21" sqref="Q21"/>
    </sheetView>
  </sheetViews>
  <sheetFormatPr baseColWidth="10" defaultColWidth="9.140625" defaultRowHeight="15" x14ac:dyDescent="0.25"/>
  <cols>
    <col min="1" max="1" width="12.5703125" customWidth="1"/>
    <col min="2" max="2" width="12" customWidth="1"/>
    <col min="3" max="3" width="25.7109375" bestFit="1" customWidth="1"/>
    <col min="4" max="4" width="33" customWidth="1"/>
    <col min="5" max="5" width="25" customWidth="1"/>
    <col min="6" max="6" width="18" customWidth="1"/>
    <col min="7" max="7" width="13.28515625" customWidth="1"/>
    <col min="8" max="8" width="18" customWidth="1"/>
    <col min="9" max="9" width="24.42578125" customWidth="1"/>
    <col min="10" max="10" width="22.28515625" customWidth="1"/>
    <col min="11" max="11" width="27.28515625" bestFit="1" customWidth="1"/>
  </cols>
  <sheetData>
    <row r="1" spans="1:11" x14ac:dyDescent="0.25">
      <c r="A1" s="59" t="s">
        <v>54</v>
      </c>
      <c r="B1" s="1" t="s">
        <v>55</v>
      </c>
      <c r="C1" s="1" t="s">
        <v>1572</v>
      </c>
      <c r="D1" s="1" t="s">
        <v>56</v>
      </c>
      <c r="E1" s="1" t="s">
        <v>57</v>
      </c>
      <c r="F1" s="1" t="s">
        <v>58</v>
      </c>
      <c r="G1" s="1" t="s">
        <v>0</v>
      </c>
      <c r="H1" s="1" t="s">
        <v>59</v>
      </c>
      <c r="I1" s="18" t="s">
        <v>1586</v>
      </c>
      <c r="J1" s="18" t="s">
        <v>1587</v>
      </c>
      <c r="K1" s="18" t="s">
        <v>1882</v>
      </c>
    </row>
    <row r="2" spans="1:11" x14ac:dyDescent="0.25">
      <c r="A2" s="60" t="s">
        <v>60</v>
      </c>
      <c r="B2" s="6" t="s">
        <v>61</v>
      </c>
      <c r="C2" s="2" t="s">
        <v>1631</v>
      </c>
      <c r="D2" s="2" t="s">
        <v>62</v>
      </c>
      <c r="E2" s="2" t="s">
        <v>63</v>
      </c>
      <c r="F2" s="2" t="s">
        <v>64</v>
      </c>
      <c r="G2" s="2" t="s">
        <v>19</v>
      </c>
      <c r="H2" s="5">
        <v>45631</v>
      </c>
      <c r="I2" t="str">
        <f ca="1">IF(COUNTIFS(Creditos!B:B,A2,Creditos!R:R,"En mora")&gt;0,"Sí","No")</f>
        <v>No</v>
      </c>
      <c r="J2" t="str">
        <f>IF(COUNTIF(Creditos!B:B,A2)&gt;0,"Sí","No")</f>
        <v>Sí</v>
      </c>
      <c r="K2" t="str">
        <f>IF(COUNTIF(Depositos!B:B,A2)&gt;0,"Sí","No")</f>
        <v>Sí</v>
      </c>
    </row>
    <row r="3" spans="1:11" x14ac:dyDescent="0.25">
      <c r="A3" s="60" t="s">
        <v>65</v>
      </c>
      <c r="B3" s="6" t="s">
        <v>66</v>
      </c>
      <c r="C3" s="2" t="s">
        <v>1632</v>
      </c>
      <c r="D3" s="2" t="s">
        <v>67</v>
      </c>
      <c r="E3" s="2" t="s">
        <v>68</v>
      </c>
      <c r="F3" s="2" t="s">
        <v>64</v>
      </c>
      <c r="G3" s="2" t="s">
        <v>14</v>
      </c>
      <c r="H3" s="5">
        <v>46139</v>
      </c>
      <c r="I3" t="str">
        <f ca="1">IF(COUNTIFS(Creditos!B:B,A3,Creditos!R:R,"En mora")&gt;0,"Sí","No")</f>
        <v>No</v>
      </c>
      <c r="J3" t="str">
        <f>IF(COUNTIF(Creditos!B:B,A3)&gt;0,"Sí","No")</f>
        <v>Sí</v>
      </c>
      <c r="K3" t="str">
        <f>IF(COUNTIF(Depositos!B:B,A3)&gt;0,"Sí","No")</f>
        <v>Sí</v>
      </c>
    </row>
    <row r="4" spans="1:11" x14ac:dyDescent="0.25">
      <c r="A4" s="60" t="s">
        <v>69</v>
      </c>
      <c r="B4" s="6" t="s">
        <v>70</v>
      </c>
      <c r="C4" s="2" t="s">
        <v>1633</v>
      </c>
      <c r="D4" s="2" t="s">
        <v>71</v>
      </c>
      <c r="E4" s="2" t="s">
        <v>72</v>
      </c>
      <c r="F4" s="2" t="s">
        <v>64</v>
      </c>
      <c r="G4" s="2" t="s">
        <v>3</v>
      </c>
      <c r="H4" s="5">
        <v>44622</v>
      </c>
      <c r="I4" t="str">
        <f ca="1">IF(COUNTIFS(Creditos!B:B,A4,Creditos!R:R,"En mora")&gt;0,"Sí","No")</f>
        <v>No</v>
      </c>
      <c r="J4" t="str">
        <f>IF(COUNTIF(Creditos!B:B,A4)&gt;0,"Sí","No")</f>
        <v>Sí</v>
      </c>
      <c r="K4" t="str">
        <f>IF(COUNTIF(Depositos!B:B,A4)&gt;0,"Sí","No")</f>
        <v>Sí</v>
      </c>
    </row>
    <row r="5" spans="1:11" x14ac:dyDescent="0.25">
      <c r="A5" s="60" t="s">
        <v>73</v>
      </c>
      <c r="B5" s="6" t="s">
        <v>74</v>
      </c>
      <c r="C5" s="2" t="s">
        <v>1634</v>
      </c>
      <c r="D5" s="2" t="s">
        <v>75</v>
      </c>
      <c r="E5" s="2" t="s">
        <v>7</v>
      </c>
      <c r="F5" s="2" t="s">
        <v>64</v>
      </c>
      <c r="G5" s="2" t="s">
        <v>3</v>
      </c>
      <c r="H5" s="5">
        <v>45020</v>
      </c>
      <c r="I5" t="str">
        <f ca="1">IF(COUNTIFS(Creditos!B:B,A5,Creditos!R:R,"En mora")&gt;0,"Sí","No")</f>
        <v>No</v>
      </c>
      <c r="J5" t="str">
        <f>IF(COUNTIF(Creditos!B:B,A5)&gt;0,"Sí","No")</f>
        <v>Sí</v>
      </c>
      <c r="K5" t="str">
        <f>IF(COUNTIF(Depositos!B:B,A5)&gt;0,"Sí","No")</f>
        <v>Sí</v>
      </c>
    </row>
    <row r="6" spans="1:11" x14ac:dyDescent="0.25">
      <c r="A6" s="60" t="s">
        <v>76</v>
      </c>
      <c r="B6" s="6" t="s">
        <v>77</v>
      </c>
      <c r="C6" s="2" t="s">
        <v>1635</v>
      </c>
      <c r="D6" s="2" t="s">
        <v>78</v>
      </c>
      <c r="E6" s="2" t="s">
        <v>79</v>
      </c>
      <c r="F6" s="2" t="s">
        <v>64</v>
      </c>
      <c r="G6" s="2" t="s">
        <v>17</v>
      </c>
      <c r="H6" s="5">
        <v>45175</v>
      </c>
      <c r="I6" t="str">
        <f ca="1">IF(COUNTIFS(Creditos!B:B,A6,Creditos!R:R,"En mora")&gt;0,"Sí","No")</f>
        <v>No</v>
      </c>
      <c r="J6" t="str">
        <f>IF(COUNTIF(Creditos!B:B,A6)&gt;0,"Sí","No")</f>
        <v>Sí</v>
      </c>
      <c r="K6" t="str">
        <f>IF(COUNTIF(Depositos!B:B,A6)&gt;0,"Sí","No")</f>
        <v>No</v>
      </c>
    </row>
    <row r="7" spans="1:11" x14ac:dyDescent="0.25">
      <c r="A7" s="60" t="s">
        <v>80</v>
      </c>
      <c r="B7" s="6" t="s">
        <v>81</v>
      </c>
      <c r="C7" s="2" t="s">
        <v>1636</v>
      </c>
      <c r="D7" s="2" t="s">
        <v>82</v>
      </c>
      <c r="E7" s="2" t="s">
        <v>83</v>
      </c>
      <c r="F7" s="2" t="s">
        <v>84</v>
      </c>
      <c r="G7" s="2" t="s">
        <v>11</v>
      </c>
      <c r="H7" s="5">
        <v>45309</v>
      </c>
      <c r="I7" t="str">
        <f ca="1">IF(COUNTIFS(Creditos!B:B,A7,Creditos!R:R,"En mora")&gt;0,"Sí","No")</f>
        <v>No</v>
      </c>
      <c r="J7" t="str">
        <f>IF(COUNTIF(Creditos!B:B,A7)&gt;0,"Sí","No")</f>
        <v>Sí</v>
      </c>
      <c r="K7" t="str">
        <f>IF(COUNTIF(Depositos!B:B,A7)&gt;0,"Sí","No")</f>
        <v>Sí</v>
      </c>
    </row>
    <row r="8" spans="1:11" x14ac:dyDescent="0.25">
      <c r="A8" s="60" t="s">
        <v>85</v>
      </c>
      <c r="B8" s="6" t="s">
        <v>86</v>
      </c>
      <c r="C8" s="2" t="s">
        <v>1637</v>
      </c>
      <c r="D8" s="2" t="s">
        <v>87</v>
      </c>
      <c r="E8" s="2" t="s">
        <v>88</v>
      </c>
      <c r="F8" s="2" t="s">
        <v>64</v>
      </c>
      <c r="G8" s="2" t="s">
        <v>11</v>
      </c>
      <c r="H8" s="5">
        <v>45383</v>
      </c>
      <c r="I8" t="str">
        <f ca="1">IF(COUNTIFS(Creditos!B:B,A8,Creditos!R:R,"En mora")&gt;0,"Sí","No")</f>
        <v>Sí</v>
      </c>
      <c r="J8" t="str">
        <f>IF(COUNTIF(Creditos!B:B,A8)&gt;0,"Sí","No")</f>
        <v>Sí</v>
      </c>
      <c r="K8" t="str">
        <f>IF(COUNTIF(Depositos!B:B,A8)&gt;0,"Sí","No")</f>
        <v>Sí</v>
      </c>
    </row>
    <row r="9" spans="1:11" x14ac:dyDescent="0.25">
      <c r="A9" s="60" t="s">
        <v>89</v>
      </c>
      <c r="B9" s="6" t="s">
        <v>90</v>
      </c>
      <c r="C9" s="2" t="s">
        <v>1638</v>
      </c>
      <c r="D9" s="2" t="s">
        <v>91</v>
      </c>
      <c r="E9" s="2" t="s">
        <v>63</v>
      </c>
      <c r="F9" s="2" t="s">
        <v>84</v>
      </c>
      <c r="G9" s="2" t="s">
        <v>19</v>
      </c>
      <c r="H9" s="5">
        <v>45110</v>
      </c>
      <c r="I9" t="str">
        <f ca="1">IF(COUNTIFS(Creditos!B:B,A9,Creditos!R:R,"En mora")&gt;0,"Sí","No")</f>
        <v>No</v>
      </c>
      <c r="J9" t="str">
        <f>IF(COUNTIF(Creditos!B:B,A9)&gt;0,"Sí","No")</f>
        <v>Sí</v>
      </c>
      <c r="K9" t="str">
        <f>IF(COUNTIF(Depositos!B:B,A9)&gt;0,"Sí","No")</f>
        <v>Sí</v>
      </c>
    </row>
    <row r="10" spans="1:11" x14ac:dyDescent="0.25">
      <c r="A10" s="60" t="s">
        <v>92</v>
      </c>
      <c r="B10" s="6" t="s">
        <v>93</v>
      </c>
      <c r="C10" s="2" t="s">
        <v>1639</v>
      </c>
      <c r="D10" s="2" t="s">
        <v>94</v>
      </c>
      <c r="E10" s="2" t="s">
        <v>95</v>
      </c>
      <c r="F10" s="2" t="s">
        <v>84</v>
      </c>
      <c r="G10" s="2" t="s">
        <v>3</v>
      </c>
      <c r="H10" s="5">
        <v>45609</v>
      </c>
      <c r="I10" t="str">
        <f ca="1">IF(COUNTIFS(Creditos!B:B,A10,Creditos!R:R,"En mora")&gt;0,"Sí","No")</f>
        <v>No</v>
      </c>
      <c r="J10" t="str">
        <f>IF(COUNTIF(Creditos!B:B,A10)&gt;0,"Sí","No")</f>
        <v>Sí</v>
      </c>
      <c r="K10" t="str">
        <f>IF(COUNTIF(Depositos!B:B,A10)&gt;0,"Sí","No")</f>
        <v>Sí</v>
      </c>
    </row>
    <row r="11" spans="1:11" x14ac:dyDescent="0.25">
      <c r="A11" s="60" t="s">
        <v>96</v>
      </c>
      <c r="B11" s="6" t="s">
        <v>97</v>
      </c>
      <c r="C11" s="2" t="s">
        <v>1640</v>
      </c>
      <c r="D11" s="2" t="s">
        <v>98</v>
      </c>
      <c r="E11" s="2" t="s">
        <v>99</v>
      </c>
      <c r="F11" s="2" t="s">
        <v>84</v>
      </c>
      <c r="G11" s="2" t="s">
        <v>11</v>
      </c>
      <c r="H11" s="5">
        <v>45298</v>
      </c>
      <c r="I11" t="str">
        <f ca="1">IF(COUNTIFS(Creditos!B:B,A11,Creditos!R:R,"En mora")&gt;0,"Sí","No")</f>
        <v>No</v>
      </c>
      <c r="J11" t="str">
        <f>IF(COUNTIF(Creditos!B:B,A11)&gt;0,"Sí","No")</f>
        <v>Sí</v>
      </c>
      <c r="K11" t="str">
        <f>IF(COUNTIF(Depositos!B:B,A11)&gt;0,"Sí","No")</f>
        <v>Sí</v>
      </c>
    </row>
    <row r="12" spans="1:11" x14ac:dyDescent="0.25">
      <c r="A12" s="60" t="s">
        <v>100</v>
      </c>
      <c r="B12" s="6" t="s">
        <v>101</v>
      </c>
      <c r="C12" s="2" t="s">
        <v>1641</v>
      </c>
      <c r="D12" s="2" t="s">
        <v>102</v>
      </c>
      <c r="E12" s="2" t="s">
        <v>103</v>
      </c>
      <c r="F12" s="2" t="s">
        <v>64</v>
      </c>
      <c r="G12" s="2" t="s">
        <v>14</v>
      </c>
      <c r="H12" s="5">
        <v>45311</v>
      </c>
      <c r="I12" t="str">
        <f ca="1">IF(COUNTIFS(Creditos!B:B,A12,Creditos!R:R,"En mora")&gt;0,"Sí","No")</f>
        <v>No</v>
      </c>
      <c r="J12" t="str">
        <f>IF(COUNTIF(Creditos!B:B,A12)&gt;0,"Sí","No")</f>
        <v>Sí</v>
      </c>
      <c r="K12" t="str">
        <f>IF(COUNTIF(Depositos!B:B,A12)&gt;0,"Sí","No")</f>
        <v>Sí</v>
      </c>
    </row>
    <row r="13" spans="1:11" x14ac:dyDescent="0.25">
      <c r="A13" s="60" t="s">
        <v>104</v>
      </c>
      <c r="B13" s="6" t="s">
        <v>105</v>
      </c>
      <c r="C13" s="2" t="s">
        <v>1642</v>
      </c>
      <c r="D13" s="2" t="s">
        <v>106</v>
      </c>
      <c r="E13" s="2" t="s">
        <v>107</v>
      </c>
      <c r="F13" s="2" t="s">
        <v>64</v>
      </c>
      <c r="G13" s="2" t="s">
        <v>8</v>
      </c>
      <c r="H13" s="5">
        <v>44650</v>
      </c>
      <c r="I13" t="str">
        <f ca="1">IF(COUNTIFS(Creditos!B:B,A13,Creditos!R:R,"En mora")&gt;0,"Sí","No")</f>
        <v>No</v>
      </c>
      <c r="J13" t="str">
        <f>IF(COUNTIF(Creditos!B:B,A13)&gt;0,"Sí","No")</f>
        <v>Sí</v>
      </c>
      <c r="K13" t="str">
        <f>IF(COUNTIF(Depositos!B:B,A13)&gt;0,"Sí","No")</f>
        <v>Sí</v>
      </c>
    </row>
    <row r="14" spans="1:11" x14ac:dyDescent="0.25">
      <c r="A14" s="60" t="s">
        <v>108</v>
      </c>
      <c r="B14" s="6" t="s">
        <v>109</v>
      </c>
      <c r="C14" s="2" t="s">
        <v>1643</v>
      </c>
      <c r="D14" s="2" t="s">
        <v>110</v>
      </c>
      <c r="E14" s="2" t="s">
        <v>111</v>
      </c>
      <c r="F14" s="2" t="s">
        <v>84</v>
      </c>
      <c r="G14" s="2" t="s">
        <v>19</v>
      </c>
      <c r="H14" s="5">
        <v>44484</v>
      </c>
      <c r="I14" t="str">
        <f ca="1">IF(COUNTIFS(Creditos!B:B,A14,Creditos!R:R,"En mora")&gt;0,"Sí","No")</f>
        <v>Sí</v>
      </c>
      <c r="J14" t="str">
        <f>IF(COUNTIF(Creditos!B:B,A14)&gt;0,"Sí","No")</f>
        <v>Sí</v>
      </c>
      <c r="K14" t="str">
        <f>IF(COUNTIF(Depositos!B:B,A14)&gt;0,"Sí","No")</f>
        <v>Sí</v>
      </c>
    </row>
    <row r="15" spans="1:11" x14ac:dyDescent="0.25">
      <c r="A15" s="60" t="s">
        <v>112</v>
      </c>
      <c r="B15" s="6" t="s">
        <v>113</v>
      </c>
      <c r="C15" s="2" t="s">
        <v>1644</v>
      </c>
      <c r="D15" s="2" t="s">
        <v>114</v>
      </c>
      <c r="E15" s="2" t="s">
        <v>115</v>
      </c>
      <c r="F15" s="2" t="s">
        <v>64</v>
      </c>
      <c r="G15" s="2" t="s">
        <v>14</v>
      </c>
      <c r="H15" s="5">
        <v>46168</v>
      </c>
      <c r="I15" t="str">
        <f ca="1">IF(COUNTIFS(Creditos!B:B,A15,Creditos!R:R,"En mora")&gt;0,"Sí","No")</f>
        <v>No</v>
      </c>
      <c r="J15" t="str">
        <f>IF(COUNTIF(Creditos!B:B,A15)&gt;0,"Sí","No")</f>
        <v>Sí</v>
      </c>
      <c r="K15" t="str">
        <f>IF(COUNTIF(Depositos!B:B,A15)&gt;0,"Sí","No")</f>
        <v>Sí</v>
      </c>
    </row>
    <row r="16" spans="1:11" x14ac:dyDescent="0.25">
      <c r="A16" s="60" t="s">
        <v>116</v>
      </c>
      <c r="B16" s="6" t="s">
        <v>117</v>
      </c>
      <c r="C16" s="2" t="s">
        <v>1645</v>
      </c>
      <c r="D16" s="2" t="s">
        <v>118</v>
      </c>
      <c r="E16" s="2" t="s">
        <v>119</v>
      </c>
      <c r="F16" s="2" t="s">
        <v>84</v>
      </c>
      <c r="G16" s="2" t="s">
        <v>17</v>
      </c>
      <c r="H16" s="5">
        <v>44912</v>
      </c>
      <c r="I16" t="str">
        <f ca="1">IF(COUNTIFS(Creditos!B:B,A16,Creditos!R:R,"En mora")&gt;0,"Sí","No")</f>
        <v>Sí</v>
      </c>
      <c r="J16" t="str">
        <f>IF(COUNTIF(Creditos!B:B,A16)&gt;0,"Sí","No")</f>
        <v>Sí</v>
      </c>
      <c r="K16" t="str">
        <f>IF(COUNTIF(Depositos!B:B,A16)&gt;0,"Sí","No")</f>
        <v>Sí</v>
      </c>
    </row>
    <row r="17" spans="1:11" x14ac:dyDescent="0.25">
      <c r="A17" s="60" t="s">
        <v>120</v>
      </c>
      <c r="B17" s="6" t="s">
        <v>121</v>
      </c>
      <c r="C17" s="2" t="s">
        <v>1646</v>
      </c>
      <c r="D17" s="2" t="s">
        <v>122</v>
      </c>
      <c r="E17" s="2" t="s">
        <v>68</v>
      </c>
      <c r="F17" s="2" t="s">
        <v>64</v>
      </c>
      <c r="G17" s="2" t="s">
        <v>14</v>
      </c>
      <c r="H17" s="5">
        <v>45942</v>
      </c>
      <c r="I17" t="str">
        <f ca="1">IF(COUNTIFS(Creditos!B:B,A17,Creditos!R:R,"En mora")&gt;0,"Sí","No")</f>
        <v>No</v>
      </c>
      <c r="J17" t="str">
        <f>IF(COUNTIF(Creditos!B:B,A17)&gt;0,"Sí","No")</f>
        <v>Sí</v>
      </c>
      <c r="K17" t="str">
        <f>IF(COUNTIF(Depositos!B:B,A17)&gt;0,"Sí","No")</f>
        <v>Sí</v>
      </c>
    </row>
    <row r="18" spans="1:11" x14ac:dyDescent="0.25">
      <c r="A18" s="60" t="s">
        <v>123</v>
      </c>
      <c r="B18" s="6" t="s">
        <v>124</v>
      </c>
      <c r="C18" s="2" t="s">
        <v>1647</v>
      </c>
      <c r="D18" s="2" t="s">
        <v>125</v>
      </c>
      <c r="E18" s="2" t="s">
        <v>126</v>
      </c>
      <c r="F18" s="2" t="s">
        <v>64</v>
      </c>
      <c r="G18" s="2" t="s">
        <v>8</v>
      </c>
      <c r="H18" s="5">
        <v>46092</v>
      </c>
      <c r="I18" t="str">
        <f ca="1">IF(COUNTIFS(Creditos!B:B,A18,Creditos!R:R,"En mora")&gt;0,"Sí","No")</f>
        <v>No</v>
      </c>
      <c r="J18" t="str">
        <f>IF(COUNTIF(Creditos!B:B,A18)&gt;0,"Sí","No")</f>
        <v>Sí</v>
      </c>
      <c r="K18" t="str">
        <f>IF(COUNTIF(Depositos!B:B,A18)&gt;0,"Sí","No")</f>
        <v>Sí</v>
      </c>
    </row>
    <row r="19" spans="1:11" x14ac:dyDescent="0.25">
      <c r="A19" s="60" t="s">
        <v>127</v>
      </c>
      <c r="B19" s="6" t="s">
        <v>128</v>
      </c>
      <c r="C19" s="2" t="s">
        <v>1648</v>
      </c>
      <c r="D19" s="2" t="s">
        <v>129</v>
      </c>
      <c r="E19" s="2" t="s">
        <v>88</v>
      </c>
      <c r="F19" s="2" t="s">
        <v>64</v>
      </c>
      <c r="G19" s="2" t="s">
        <v>11</v>
      </c>
      <c r="H19" s="5">
        <v>45303</v>
      </c>
      <c r="I19" t="str">
        <f ca="1">IF(COUNTIFS(Creditos!B:B,A19,Creditos!R:R,"En mora")&gt;0,"Sí","No")</f>
        <v>No</v>
      </c>
      <c r="J19" t="str">
        <f>IF(COUNTIF(Creditos!B:B,A19)&gt;0,"Sí","No")</f>
        <v>Sí</v>
      </c>
      <c r="K19" t="str">
        <f>IF(COUNTIF(Depositos!B:B,A19)&gt;0,"Sí","No")</f>
        <v>No</v>
      </c>
    </row>
    <row r="20" spans="1:11" x14ac:dyDescent="0.25">
      <c r="A20" s="60" t="s">
        <v>130</v>
      </c>
      <c r="B20" s="6" t="s">
        <v>131</v>
      </c>
      <c r="C20" s="2" t="s">
        <v>1649</v>
      </c>
      <c r="D20" s="2" t="s">
        <v>132</v>
      </c>
      <c r="E20" s="2" t="s">
        <v>99</v>
      </c>
      <c r="F20" s="2" t="s">
        <v>64</v>
      </c>
      <c r="G20" s="2" t="s">
        <v>11</v>
      </c>
      <c r="H20" s="5">
        <v>45714</v>
      </c>
      <c r="I20" t="str">
        <f ca="1">IF(COUNTIFS(Creditos!B:B,A20,Creditos!R:R,"En mora")&gt;0,"Sí","No")</f>
        <v>No</v>
      </c>
      <c r="J20" t="str">
        <f>IF(COUNTIF(Creditos!B:B,A20)&gt;0,"Sí","No")</f>
        <v>Sí</v>
      </c>
      <c r="K20" t="str">
        <f>IF(COUNTIF(Depositos!B:B,A20)&gt;0,"Sí","No")</f>
        <v>Sí</v>
      </c>
    </row>
    <row r="21" spans="1:11" x14ac:dyDescent="0.25">
      <c r="A21" s="60" t="s">
        <v>133</v>
      </c>
      <c r="B21" s="6" t="s">
        <v>134</v>
      </c>
      <c r="C21" s="2" t="s">
        <v>1650</v>
      </c>
      <c r="D21" s="2" t="s">
        <v>135</v>
      </c>
      <c r="E21" s="2" t="s">
        <v>136</v>
      </c>
      <c r="F21" s="2" t="s">
        <v>64</v>
      </c>
      <c r="G21" s="2" t="s">
        <v>3</v>
      </c>
      <c r="H21" s="5">
        <v>46007</v>
      </c>
      <c r="I21" t="str">
        <f>IF(COUNTIFS(Creditos!B:B,A21,Creditos!R:R,"En mora")&gt;0,"Sí","No")</f>
        <v>No</v>
      </c>
      <c r="J21" t="str">
        <f>IF(COUNTIF(Creditos!B:B,A21)&gt;0,"Sí","No")</f>
        <v>No</v>
      </c>
      <c r="K21" t="str">
        <f>IF(COUNTIF(Depositos!B:B,A21)&gt;0,"Sí","No")</f>
        <v>Sí</v>
      </c>
    </row>
    <row r="22" spans="1:11" x14ac:dyDescent="0.25">
      <c r="A22" s="60" t="s">
        <v>137</v>
      </c>
      <c r="B22" s="6" t="s">
        <v>138</v>
      </c>
      <c r="C22" s="2" t="s">
        <v>1651</v>
      </c>
      <c r="D22" s="2" t="s">
        <v>139</v>
      </c>
      <c r="E22" s="2" t="s">
        <v>140</v>
      </c>
      <c r="F22" s="2" t="s">
        <v>84</v>
      </c>
      <c r="G22" s="2" t="s">
        <v>19</v>
      </c>
      <c r="H22" s="5">
        <v>46104</v>
      </c>
      <c r="I22" t="str">
        <f ca="1">IF(COUNTIFS(Creditos!B:B,A22,Creditos!R:R,"En mora")&gt;0,"Sí","No")</f>
        <v>No</v>
      </c>
      <c r="J22" t="str">
        <f>IF(COUNTIF(Creditos!B:B,A22)&gt;0,"Sí","No")</f>
        <v>Sí</v>
      </c>
      <c r="K22" t="str">
        <f>IF(COUNTIF(Depositos!B:B,A22)&gt;0,"Sí","No")</f>
        <v>Sí</v>
      </c>
    </row>
    <row r="23" spans="1:11" x14ac:dyDescent="0.25">
      <c r="A23" s="60" t="s">
        <v>141</v>
      </c>
      <c r="B23" s="6" t="s">
        <v>142</v>
      </c>
      <c r="C23" s="2" t="s">
        <v>1652</v>
      </c>
      <c r="D23" s="2" t="s">
        <v>143</v>
      </c>
      <c r="E23" s="2" t="s">
        <v>144</v>
      </c>
      <c r="F23" s="2" t="s">
        <v>64</v>
      </c>
      <c r="G23" s="2" t="s">
        <v>21</v>
      </c>
      <c r="H23" s="5">
        <v>44736</v>
      </c>
      <c r="I23" t="str">
        <f ca="1">IF(COUNTIFS(Creditos!B:B,A23,Creditos!R:R,"En mora")&gt;0,"Sí","No")</f>
        <v>No</v>
      </c>
      <c r="J23" t="str">
        <f>IF(COUNTIF(Creditos!B:B,A23)&gt;0,"Sí","No")</f>
        <v>Sí</v>
      </c>
      <c r="K23" t="str">
        <f>IF(COUNTIF(Depositos!B:B,A23)&gt;0,"Sí","No")</f>
        <v>Sí</v>
      </c>
    </row>
    <row r="24" spans="1:11" x14ac:dyDescent="0.25">
      <c r="A24" s="60" t="s">
        <v>145</v>
      </c>
      <c r="B24" s="6" t="s">
        <v>146</v>
      </c>
      <c r="C24" s="2" t="s">
        <v>1653</v>
      </c>
      <c r="D24" s="2" t="s">
        <v>147</v>
      </c>
      <c r="E24" s="2" t="s">
        <v>148</v>
      </c>
      <c r="F24" s="2" t="s">
        <v>64</v>
      </c>
      <c r="G24" s="2" t="s">
        <v>21</v>
      </c>
      <c r="H24" s="5">
        <v>44628</v>
      </c>
      <c r="I24" t="str">
        <f ca="1">IF(COUNTIFS(Creditos!B:B,A24,Creditos!R:R,"En mora")&gt;0,"Sí","No")</f>
        <v>No</v>
      </c>
      <c r="J24" t="str">
        <f>IF(COUNTIF(Creditos!B:B,A24)&gt;0,"Sí","No")</f>
        <v>Sí</v>
      </c>
      <c r="K24" t="str">
        <f>IF(COUNTIF(Depositos!B:B,A24)&gt;0,"Sí","No")</f>
        <v>No</v>
      </c>
    </row>
    <row r="25" spans="1:11" x14ac:dyDescent="0.25">
      <c r="A25" s="60" t="s">
        <v>149</v>
      </c>
      <c r="B25" s="6" t="s">
        <v>150</v>
      </c>
      <c r="C25" s="2" t="s">
        <v>1654</v>
      </c>
      <c r="D25" s="2" t="s">
        <v>151</v>
      </c>
      <c r="E25" s="2" t="s">
        <v>148</v>
      </c>
      <c r="F25" s="2" t="s">
        <v>64</v>
      </c>
      <c r="G25" s="2" t="s">
        <v>21</v>
      </c>
      <c r="H25" s="5">
        <v>45360</v>
      </c>
      <c r="I25" t="str">
        <f ca="1">IF(COUNTIFS(Creditos!B:B,A25,Creditos!R:R,"En mora")&gt;0,"Sí","No")</f>
        <v>No</v>
      </c>
      <c r="J25" t="str">
        <f>IF(COUNTIF(Creditos!B:B,A25)&gt;0,"Sí","No")</f>
        <v>Sí</v>
      </c>
      <c r="K25" t="str">
        <f>IF(COUNTIF(Depositos!B:B,A25)&gt;0,"Sí","No")</f>
        <v>Sí</v>
      </c>
    </row>
    <row r="26" spans="1:11" x14ac:dyDescent="0.25">
      <c r="A26" s="60" t="s">
        <v>152</v>
      </c>
      <c r="B26" s="6" t="s">
        <v>153</v>
      </c>
      <c r="C26" s="2" t="s">
        <v>1655</v>
      </c>
      <c r="D26" s="2" t="s">
        <v>154</v>
      </c>
      <c r="E26" s="2" t="s">
        <v>155</v>
      </c>
      <c r="F26" s="2" t="s">
        <v>64</v>
      </c>
      <c r="G26" s="2" t="s">
        <v>6</v>
      </c>
      <c r="H26" s="5">
        <v>46194</v>
      </c>
      <c r="I26" t="str">
        <f>IF(COUNTIFS(Creditos!B:B,A26,Creditos!R:R,"En mora")&gt;0,"Sí","No")</f>
        <v>No</v>
      </c>
      <c r="J26" t="str">
        <f>IF(COUNTIF(Creditos!B:B,A26)&gt;0,"Sí","No")</f>
        <v>No</v>
      </c>
      <c r="K26" t="str">
        <f>IF(COUNTIF(Depositos!B:B,A26)&gt;0,"Sí","No")</f>
        <v>No</v>
      </c>
    </row>
    <row r="27" spans="1:11" x14ac:dyDescent="0.25">
      <c r="A27" s="60" t="s">
        <v>156</v>
      </c>
      <c r="B27" s="6" t="s">
        <v>157</v>
      </c>
      <c r="C27" s="2" t="s">
        <v>1656</v>
      </c>
      <c r="D27" s="2" t="s">
        <v>158</v>
      </c>
      <c r="E27" s="2" t="s">
        <v>115</v>
      </c>
      <c r="F27" s="2" t="s">
        <v>64</v>
      </c>
      <c r="G27" s="2" t="s">
        <v>14</v>
      </c>
      <c r="H27" s="5">
        <v>44667</v>
      </c>
      <c r="I27" t="str">
        <f>IF(COUNTIFS(Creditos!B:B,A27,Creditos!R:R,"En mora")&gt;0,"Sí","No")</f>
        <v>Sí</v>
      </c>
      <c r="J27" t="str">
        <f>IF(COUNTIF(Creditos!B:B,A27)&gt;0,"Sí","No")</f>
        <v>Sí</v>
      </c>
      <c r="K27" t="str">
        <f>IF(COUNTIF(Depositos!B:B,A27)&gt;0,"Sí","No")</f>
        <v>Sí</v>
      </c>
    </row>
    <row r="28" spans="1:11" x14ac:dyDescent="0.25">
      <c r="A28" s="60" t="s">
        <v>159</v>
      </c>
      <c r="B28" s="6" t="s">
        <v>160</v>
      </c>
      <c r="C28" s="2" t="s">
        <v>1657</v>
      </c>
      <c r="D28" s="2" t="s">
        <v>161</v>
      </c>
      <c r="E28" s="2" t="s">
        <v>162</v>
      </c>
      <c r="F28" s="2" t="s">
        <v>64</v>
      </c>
      <c r="G28" s="2" t="s">
        <v>21</v>
      </c>
      <c r="H28" s="5">
        <v>45063</v>
      </c>
      <c r="I28" t="str">
        <f ca="1">IF(COUNTIFS(Creditos!B:B,A28,Creditos!R:R,"En mora")&gt;0,"Sí","No")</f>
        <v>No</v>
      </c>
      <c r="J28" t="str">
        <f>IF(COUNTIF(Creditos!B:B,A28)&gt;0,"Sí","No")</f>
        <v>Sí</v>
      </c>
      <c r="K28" t="str">
        <f>IF(COUNTIF(Depositos!B:B,A28)&gt;0,"Sí","No")</f>
        <v>No</v>
      </c>
    </row>
    <row r="29" spans="1:11" x14ac:dyDescent="0.25">
      <c r="A29" s="60" t="s">
        <v>163</v>
      </c>
      <c r="B29" s="6" t="s">
        <v>164</v>
      </c>
      <c r="C29" s="2" t="s">
        <v>1658</v>
      </c>
      <c r="D29" s="2" t="s">
        <v>165</v>
      </c>
      <c r="E29" s="2" t="s">
        <v>126</v>
      </c>
      <c r="F29" s="2" t="s">
        <v>64</v>
      </c>
      <c r="G29" s="2" t="s">
        <v>8</v>
      </c>
      <c r="H29" s="5">
        <v>46188</v>
      </c>
      <c r="I29" t="str">
        <f ca="1">IF(COUNTIFS(Creditos!B:B,A29,Creditos!R:R,"En mora")&gt;0,"Sí","No")</f>
        <v>No</v>
      </c>
      <c r="J29" t="str">
        <f>IF(COUNTIF(Creditos!B:B,A29)&gt;0,"Sí","No")</f>
        <v>Sí</v>
      </c>
      <c r="K29" t="str">
        <f>IF(COUNTIF(Depositos!B:B,A29)&gt;0,"Sí","No")</f>
        <v>Sí</v>
      </c>
    </row>
    <row r="30" spans="1:11" x14ac:dyDescent="0.25">
      <c r="A30" s="60" t="s">
        <v>166</v>
      </c>
      <c r="B30" s="6" t="s">
        <v>167</v>
      </c>
      <c r="C30" s="2" t="s">
        <v>1659</v>
      </c>
      <c r="D30" s="2" t="s">
        <v>168</v>
      </c>
      <c r="E30" s="2" t="s">
        <v>169</v>
      </c>
      <c r="F30" s="2" t="s">
        <v>64</v>
      </c>
      <c r="G30" s="2" t="s">
        <v>17</v>
      </c>
      <c r="H30" s="5">
        <v>45761</v>
      </c>
      <c r="I30" t="str">
        <f ca="1">IF(COUNTIFS(Creditos!B:B,A30,Creditos!R:R,"En mora")&gt;0,"Sí","No")</f>
        <v>Sí</v>
      </c>
      <c r="J30" t="str">
        <f>IF(COUNTIF(Creditos!B:B,A30)&gt;0,"Sí","No")</f>
        <v>Sí</v>
      </c>
      <c r="K30" t="str">
        <f>IF(COUNTIF(Depositos!B:B,A30)&gt;0,"Sí","No")</f>
        <v>Sí</v>
      </c>
    </row>
    <row r="31" spans="1:11" x14ac:dyDescent="0.25">
      <c r="A31" s="60" t="s">
        <v>170</v>
      </c>
      <c r="B31" s="6" t="s">
        <v>171</v>
      </c>
      <c r="C31" s="2" t="s">
        <v>1660</v>
      </c>
      <c r="D31" s="2" t="s">
        <v>172</v>
      </c>
      <c r="E31" s="2" t="s">
        <v>83</v>
      </c>
      <c r="F31" s="2" t="s">
        <v>64</v>
      </c>
      <c r="G31" s="2" t="s">
        <v>11</v>
      </c>
      <c r="H31" s="5">
        <v>44818</v>
      </c>
      <c r="I31" t="str">
        <f ca="1">IF(COUNTIFS(Creditos!B:B,A31,Creditos!R:R,"En mora")&gt;0,"Sí","No")</f>
        <v>No</v>
      </c>
      <c r="J31" t="str">
        <f>IF(COUNTIF(Creditos!B:B,A31)&gt;0,"Sí","No")</f>
        <v>Sí</v>
      </c>
      <c r="K31" t="str">
        <f>IF(COUNTIF(Depositos!B:B,A31)&gt;0,"Sí","No")</f>
        <v>Sí</v>
      </c>
    </row>
    <row r="32" spans="1:11" x14ac:dyDescent="0.25">
      <c r="A32" s="60" t="s">
        <v>173</v>
      </c>
      <c r="B32" s="6" t="s">
        <v>174</v>
      </c>
      <c r="C32" s="2" t="s">
        <v>1661</v>
      </c>
      <c r="D32" s="2" t="s">
        <v>175</v>
      </c>
      <c r="E32" s="2" t="s">
        <v>111</v>
      </c>
      <c r="F32" s="2" t="s">
        <v>84</v>
      </c>
      <c r="G32" s="2" t="s">
        <v>19</v>
      </c>
      <c r="H32" s="5">
        <v>45184</v>
      </c>
      <c r="I32" t="str">
        <f ca="1">IF(COUNTIFS(Creditos!B:B,A32,Creditos!R:R,"En mora")&gt;0,"Sí","No")</f>
        <v>Sí</v>
      </c>
      <c r="J32" t="str">
        <f>IF(COUNTIF(Creditos!B:B,A32)&gt;0,"Sí","No")</f>
        <v>Sí</v>
      </c>
      <c r="K32" t="str">
        <f>IF(COUNTIF(Depositos!B:B,A32)&gt;0,"Sí","No")</f>
        <v>No</v>
      </c>
    </row>
    <row r="33" spans="1:11" x14ac:dyDescent="0.25">
      <c r="A33" s="60" t="s">
        <v>176</v>
      </c>
      <c r="B33" s="6" t="s">
        <v>177</v>
      </c>
      <c r="C33" s="2" t="s">
        <v>1662</v>
      </c>
      <c r="D33" s="2" t="s">
        <v>178</v>
      </c>
      <c r="E33" s="2" t="s">
        <v>179</v>
      </c>
      <c r="F33" s="2" t="s">
        <v>84</v>
      </c>
      <c r="G33" s="2" t="s">
        <v>3</v>
      </c>
      <c r="H33" s="5">
        <v>44555</v>
      </c>
      <c r="I33" t="str">
        <f ca="1">IF(COUNTIFS(Creditos!B:B,A33,Creditos!R:R,"En mora")&gt;0,"Sí","No")</f>
        <v>Sí</v>
      </c>
      <c r="J33" t="str">
        <f>IF(COUNTIF(Creditos!B:B,A33)&gt;0,"Sí","No")</f>
        <v>Sí</v>
      </c>
      <c r="K33" t="str">
        <f>IF(COUNTIF(Depositos!B:B,A33)&gt;0,"Sí","No")</f>
        <v>Sí</v>
      </c>
    </row>
    <row r="34" spans="1:11" x14ac:dyDescent="0.25">
      <c r="A34" s="60" t="s">
        <v>180</v>
      </c>
      <c r="B34" s="6" t="s">
        <v>181</v>
      </c>
      <c r="C34" s="2" t="s">
        <v>1663</v>
      </c>
      <c r="D34" s="2" t="s">
        <v>182</v>
      </c>
      <c r="E34" s="2" t="s">
        <v>79</v>
      </c>
      <c r="F34" s="2" t="s">
        <v>64</v>
      </c>
      <c r="G34" s="2" t="s">
        <v>17</v>
      </c>
      <c r="H34" s="5">
        <v>44947</v>
      </c>
      <c r="I34" t="str">
        <f>IF(COUNTIFS(Creditos!B:B,A34,Creditos!R:R,"En mora")&gt;0,"Sí","No")</f>
        <v>Sí</v>
      </c>
      <c r="J34" t="str">
        <f>IF(COUNTIF(Creditos!B:B,A34)&gt;0,"Sí","No")</f>
        <v>Sí</v>
      </c>
      <c r="K34" t="str">
        <f>IF(COUNTIF(Depositos!B:B,A34)&gt;0,"Sí","No")</f>
        <v>Sí</v>
      </c>
    </row>
    <row r="35" spans="1:11" x14ac:dyDescent="0.25">
      <c r="A35" s="60" t="s">
        <v>183</v>
      </c>
      <c r="B35" s="6" t="s">
        <v>184</v>
      </c>
      <c r="C35" s="2" t="s">
        <v>1664</v>
      </c>
      <c r="D35" s="2" t="s">
        <v>185</v>
      </c>
      <c r="E35" s="2" t="s">
        <v>88</v>
      </c>
      <c r="F35" s="2" t="s">
        <v>84</v>
      </c>
      <c r="G35" s="2" t="s">
        <v>11</v>
      </c>
      <c r="H35" s="5">
        <v>44413</v>
      </c>
      <c r="I35" t="str">
        <f>IF(COUNTIFS(Creditos!B:B,A35,Creditos!R:R,"En mora")&gt;0,"Sí","No")</f>
        <v>No</v>
      </c>
      <c r="J35" t="str">
        <f>IF(COUNTIF(Creditos!B:B,A35)&gt;0,"Sí","No")</f>
        <v>No</v>
      </c>
      <c r="K35" t="str">
        <f>IF(COUNTIF(Depositos!B:B,A35)&gt;0,"Sí","No")</f>
        <v>Sí</v>
      </c>
    </row>
    <row r="36" spans="1:11" x14ac:dyDescent="0.25">
      <c r="A36" s="60" t="s">
        <v>186</v>
      </c>
      <c r="B36" s="6" t="s">
        <v>187</v>
      </c>
      <c r="C36" s="2" t="s">
        <v>1665</v>
      </c>
      <c r="D36" s="2" t="s">
        <v>188</v>
      </c>
      <c r="E36" s="2" t="s">
        <v>169</v>
      </c>
      <c r="F36" s="2" t="s">
        <v>64</v>
      </c>
      <c r="G36" s="2" t="s">
        <v>17</v>
      </c>
      <c r="H36" s="5">
        <v>45501</v>
      </c>
      <c r="I36" t="str">
        <f ca="1">IF(COUNTIFS(Creditos!B:B,A36,Creditos!R:R,"En mora")&gt;0,"Sí","No")</f>
        <v>No</v>
      </c>
      <c r="J36" t="str">
        <f>IF(COUNTIF(Creditos!B:B,A36)&gt;0,"Sí","No")</f>
        <v>Sí</v>
      </c>
      <c r="K36" t="str">
        <f>IF(COUNTIF(Depositos!B:B,A36)&gt;0,"Sí","No")</f>
        <v>Sí</v>
      </c>
    </row>
    <row r="37" spans="1:11" x14ac:dyDescent="0.25">
      <c r="A37" s="60" t="s">
        <v>189</v>
      </c>
      <c r="B37" s="6" t="s">
        <v>190</v>
      </c>
      <c r="C37" s="2" t="s">
        <v>1666</v>
      </c>
      <c r="D37" s="2" t="s">
        <v>191</v>
      </c>
      <c r="E37" s="2" t="s">
        <v>107</v>
      </c>
      <c r="F37" s="2" t="s">
        <v>64</v>
      </c>
      <c r="G37" s="2" t="s">
        <v>8</v>
      </c>
      <c r="H37" s="5">
        <v>45457</v>
      </c>
      <c r="I37" t="str">
        <f ca="1">IF(COUNTIFS(Creditos!B:B,A37,Creditos!R:R,"En mora")&gt;0,"Sí","No")</f>
        <v>No</v>
      </c>
      <c r="J37" t="str">
        <f>IF(COUNTIF(Creditos!B:B,A37)&gt;0,"Sí","No")</f>
        <v>Sí</v>
      </c>
      <c r="K37" t="str">
        <f>IF(COUNTIF(Depositos!B:B,A37)&gt;0,"Sí","No")</f>
        <v>Sí</v>
      </c>
    </row>
    <row r="38" spans="1:11" x14ac:dyDescent="0.25">
      <c r="A38" s="60" t="s">
        <v>192</v>
      </c>
      <c r="B38" s="6" t="s">
        <v>193</v>
      </c>
      <c r="C38" s="2" t="s">
        <v>1667</v>
      </c>
      <c r="D38" s="2" t="s">
        <v>194</v>
      </c>
      <c r="E38" s="2" t="s">
        <v>155</v>
      </c>
      <c r="F38" s="2" t="s">
        <v>64</v>
      </c>
      <c r="G38" s="2" t="s">
        <v>6</v>
      </c>
      <c r="H38" s="5">
        <v>45823</v>
      </c>
      <c r="I38" t="str">
        <f ca="1">IF(COUNTIFS(Creditos!B:B,A38,Creditos!R:R,"En mora")&gt;0,"Sí","No")</f>
        <v>No</v>
      </c>
      <c r="J38" t="str">
        <f>IF(COUNTIF(Creditos!B:B,A38)&gt;0,"Sí","No")</f>
        <v>Sí</v>
      </c>
      <c r="K38" t="str">
        <f>IF(COUNTIF(Depositos!B:B,A38)&gt;0,"Sí","No")</f>
        <v>No</v>
      </c>
    </row>
    <row r="39" spans="1:11" x14ac:dyDescent="0.25">
      <c r="A39" s="60" t="s">
        <v>195</v>
      </c>
      <c r="B39" s="6" t="s">
        <v>196</v>
      </c>
      <c r="C39" s="2" t="s">
        <v>1668</v>
      </c>
      <c r="D39" s="2" t="s">
        <v>197</v>
      </c>
      <c r="E39" s="2" t="s">
        <v>126</v>
      </c>
      <c r="F39" s="2" t="s">
        <v>64</v>
      </c>
      <c r="G39" s="2" t="s">
        <v>8</v>
      </c>
      <c r="H39" s="5">
        <v>46072</v>
      </c>
      <c r="I39" t="str">
        <f ca="1">IF(COUNTIFS(Creditos!B:B,A39,Creditos!R:R,"En mora")&gt;0,"Sí","No")</f>
        <v>No</v>
      </c>
      <c r="J39" t="str">
        <f>IF(COUNTIF(Creditos!B:B,A39)&gt;0,"Sí","No")</f>
        <v>Sí</v>
      </c>
      <c r="K39" t="str">
        <f>IF(COUNTIF(Depositos!B:B,A39)&gt;0,"Sí","No")</f>
        <v>Sí</v>
      </c>
    </row>
    <row r="40" spans="1:11" x14ac:dyDescent="0.25">
      <c r="A40" s="60" t="s">
        <v>198</v>
      </c>
      <c r="B40" s="6" t="s">
        <v>199</v>
      </c>
      <c r="C40" s="2" t="s">
        <v>1669</v>
      </c>
      <c r="D40" s="2" t="s">
        <v>200</v>
      </c>
      <c r="E40" s="2" t="s">
        <v>68</v>
      </c>
      <c r="F40" s="2" t="s">
        <v>64</v>
      </c>
      <c r="G40" s="2" t="s">
        <v>14</v>
      </c>
      <c r="H40" s="5">
        <v>45014</v>
      </c>
      <c r="I40" t="str">
        <f ca="1">IF(COUNTIFS(Creditos!B:B,A40,Creditos!R:R,"En mora")&gt;0,"Sí","No")</f>
        <v>No</v>
      </c>
      <c r="J40" t="str">
        <f>IF(COUNTIF(Creditos!B:B,A40)&gt;0,"Sí","No")</f>
        <v>Sí</v>
      </c>
      <c r="K40" t="str">
        <f>IF(COUNTIF(Depositos!B:B,A40)&gt;0,"Sí","No")</f>
        <v>Sí</v>
      </c>
    </row>
    <row r="41" spans="1:11" x14ac:dyDescent="0.25">
      <c r="A41" s="60" t="s">
        <v>201</v>
      </c>
      <c r="B41" s="6" t="s">
        <v>202</v>
      </c>
      <c r="C41" s="2" t="s">
        <v>1670</v>
      </c>
      <c r="D41" s="2" t="s">
        <v>203</v>
      </c>
      <c r="E41" s="2" t="s">
        <v>68</v>
      </c>
      <c r="F41" s="2" t="s">
        <v>64</v>
      </c>
      <c r="G41" s="2" t="s">
        <v>14</v>
      </c>
      <c r="H41" s="5">
        <v>46115</v>
      </c>
      <c r="I41" t="str">
        <f ca="1">IF(COUNTIFS(Creditos!B:B,A41,Creditos!R:R,"En mora")&gt;0,"Sí","No")</f>
        <v>No</v>
      </c>
      <c r="J41" t="str">
        <f>IF(COUNTIF(Creditos!B:B,A41)&gt;0,"Sí","No")</f>
        <v>Sí</v>
      </c>
      <c r="K41" t="str">
        <f>IF(COUNTIF(Depositos!B:B,A41)&gt;0,"Sí","No")</f>
        <v>Sí</v>
      </c>
    </row>
    <row r="42" spans="1:11" x14ac:dyDescent="0.25">
      <c r="A42" s="60" t="s">
        <v>204</v>
      </c>
      <c r="B42" s="6" t="s">
        <v>205</v>
      </c>
      <c r="C42" s="2" t="s">
        <v>1671</v>
      </c>
      <c r="D42" s="2" t="s">
        <v>206</v>
      </c>
      <c r="E42" s="2" t="s">
        <v>95</v>
      </c>
      <c r="F42" s="2" t="s">
        <v>64</v>
      </c>
      <c r="G42" s="2" t="s">
        <v>6</v>
      </c>
      <c r="H42" s="5">
        <v>45451</v>
      </c>
      <c r="I42" t="str">
        <f ca="1">IF(COUNTIFS(Creditos!B:B,A42,Creditos!R:R,"En mora")&gt;0,"Sí","No")</f>
        <v>Sí</v>
      </c>
      <c r="J42" t="str">
        <f>IF(COUNTIF(Creditos!B:B,A42)&gt;0,"Sí","No")</f>
        <v>Sí</v>
      </c>
      <c r="K42" t="str">
        <f>IF(COUNTIF(Depositos!B:B,A42)&gt;0,"Sí","No")</f>
        <v>Sí</v>
      </c>
    </row>
    <row r="43" spans="1:11" x14ac:dyDescent="0.25">
      <c r="A43" s="60" t="s">
        <v>207</v>
      </c>
      <c r="B43" s="6" t="s">
        <v>208</v>
      </c>
      <c r="C43" s="2" t="s">
        <v>1672</v>
      </c>
      <c r="D43" s="2" t="s">
        <v>209</v>
      </c>
      <c r="E43" s="2" t="s">
        <v>103</v>
      </c>
      <c r="F43" s="2" t="s">
        <v>64</v>
      </c>
      <c r="G43" s="2" t="s">
        <v>14</v>
      </c>
      <c r="H43" s="5">
        <v>45210</v>
      </c>
      <c r="I43" t="str">
        <f ca="1">IF(COUNTIFS(Creditos!B:B,A43,Creditos!R:R,"En mora")&gt;0,"Sí","No")</f>
        <v>No</v>
      </c>
      <c r="J43" t="str">
        <f>IF(COUNTIF(Creditos!B:B,A43)&gt;0,"Sí","No")</f>
        <v>Sí</v>
      </c>
      <c r="K43" t="str">
        <f>IF(COUNTIF(Depositos!B:B,A43)&gt;0,"Sí","No")</f>
        <v>Sí</v>
      </c>
    </row>
    <row r="44" spans="1:11" x14ac:dyDescent="0.25">
      <c r="A44" s="60" t="s">
        <v>210</v>
      </c>
      <c r="B44" s="6" t="s">
        <v>211</v>
      </c>
      <c r="C44" s="2" t="s">
        <v>1673</v>
      </c>
      <c r="D44" s="2" t="s">
        <v>212</v>
      </c>
      <c r="E44" s="2" t="s">
        <v>103</v>
      </c>
      <c r="F44" s="2" t="s">
        <v>64</v>
      </c>
      <c r="G44" s="2" t="s">
        <v>14</v>
      </c>
      <c r="H44" s="5">
        <v>44808</v>
      </c>
      <c r="I44" t="str">
        <f ca="1">IF(COUNTIFS(Creditos!B:B,A44,Creditos!R:R,"En mora")&gt;0,"Sí","No")</f>
        <v>No</v>
      </c>
      <c r="J44" t="str">
        <f>IF(COUNTIF(Creditos!B:B,A44)&gt;0,"Sí","No")</f>
        <v>Sí</v>
      </c>
      <c r="K44" t="str">
        <f>IF(COUNTIF(Depositos!B:B,A44)&gt;0,"Sí","No")</f>
        <v>Sí</v>
      </c>
    </row>
    <row r="45" spans="1:11" x14ac:dyDescent="0.25">
      <c r="A45" s="60" t="s">
        <v>213</v>
      </c>
      <c r="B45" s="6" t="s">
        <v>214</v>
      </c>
      <c r="C45" s="2" t="s">
        <v>1674</v>
      </c>
      <c r="D45" s="2" t="s">
        <v>215</v>
      </c>
      <c r="E45" s="2" t="s">
        <v>88</v>
      </c>
      <c r="F45" s="2" t="s">
        <v>64</v>
      </c>
      <c r="G45" s="2" t="s">
        <v>11</v>
      </c>
      <c r="H45" s="5">
        <v>45494</v>
      </c>
      <c r="I45" t="str">
        <f ca="1">IF(COUNTIFS(Creditos!B:B,A45,Creditos!R:R,"En mora")&gt;0,"Sí","No")</f>
        <v>No</v>
      </c>
      <c r="J45" t="str">
        <f>IF(COUNTIF(Creditos!B:B,A45)&gt;0,"Sí","No")</f>
        <v>Sí</v>
      </c>
      <c r="K45" t="str">
        <f>IF(COUNTIF(Depositos!B:B,A45)&gt;0,"Sí","No")</f>
        <v>Sí</v>
      </c>
    </row>
    <row r="46" spans="1:11" x14ac:dyDescent="0.25">
      <c r="A46" s="60" t="s">
        <v>216</v>
      </c>
      <c r="B46" s="6" t="s">
        <v>217</v>
      </c>
      <c r="C46" s="2" t="s">
        <v>1675</v>
      </c>
      <c r="D46" s="2" t="s">
        <v>218</v>
      </c>
      <c r="E46" s="2" t="s">
        <v>63</v>
      </c>
      <c r="F46" s="2" t="s">
        <v>84</v>
      </c>
      <c r="G46" s="2" t="s">
        <v>19</v>
      </c>
      <c r="H46" s="5">
        <v>45447</v>
      </c>
      <c r="I46" t="str">
        <f>IF(COUNTIFS(Creditos!B:B,A46,Creditos!R:R,"En mora")&gt;0,"Sí","No")</f>
        <v>No</v>
      </c>
      <c r="J46" t="str">
        <f>IF(COUNTIF(Creditos!B:B,A46)&gt;0,"Sí","No")</f>
        <v>No</v>
      </c>
      <c r="K46" t="str">
        <f>IF(COUNTIF(Depositos!B:B,A46)&gt;0,"Sí","No")</f>
        <v>Sí</v>
      </c>
    </row>
    <row r="47" spans="1:11" x14ac:dyDescent="0.25">
      <c r="A47" s="60" t="s">
        <v>219</v>
      </c>
      <c r="B47" s="6" t="s">
        <v>220</v>
      </c>
      <c r="C47" s="2" t="s">
        <v>1676</v>
      </c>
      <c r="D47" s="2" t="s">
        <v>221</v>
      </c>
      <c r="E47" s="2" t="s">
        <v>169</v>
      </c>
      <c r="F47" s="2" t="s">
        <v>64</v>
      </c>
      <c r="G47" s="2" t="s">
        <v>17</v>
      </c>
      <c r="H47" s="5">
        <v>46212</v>
      </c>
      <c r="I47" t="str">
        <f>IF(COUNTIFS(Creditos!B:B,A47,Creditos!R:R,"En mora")&gt;0,"Sí","No")</f>
        <v>No</v>
      </c>
      <c r="J47" t="str">
        <f>IF(COUNTIF(Creditos!B:B,A47)&gt;0,"Sí","No")</f>
        <v>No</v>
      </c>
      <c r="K47" t="str">
        <f>IF(COUNTIF(Depositos!B:B,A47)&gt;0,"Sí","No")</f>
        <v>Sí</v>
      </c>
    </row>
    <row r="48" spans="1:11" x14ac:dyDescent="0.25">
      <c r="A48" s="60" t="s">
        <v>222</v>
      </c>
      <c r="B48" s="6" t="s">
        <v>223</v>
      </c>
      <c r="C48" s="2" t="s">
        <v>1677</v>
      </c>
      <c r="D48" s="2" t="s">
        <v>224</v>
      </c>
      <c r="E48" s="2" t="s">
        <v>225</v>
      </c>
      <c r="F48" s="2" t="s">
        <v>64</v>
      </c>
      <c r="G48" s="2" t="s">
        <v>6</v>
      </c>
      <c r="H48" s="5">
        <v>46176</v>
      </c>
      <c r="I48" t="str">
        <f ca="1">IF(COUNTIFS(Creditos!B:B,A48,Creditos!R:R,"En mora")&gt;0,"Sí","No")</f>
        <v>Sí</v>
      </c>
      <c r="J48" t="str">
        <f>IF(COUNTIF(Creditos!B:B,A48)&gt;0,"Sí","No")</f>
        <v>Sí</v>
      </c>
      <c r="K48" t="str">
        <f>IF(COUNTIF(Depositos!B:B,A48)&gt;0,"Sí","No")</f>
        <v>Sí</v>
      </c>
    </row>
    <row r="49" spans="1:11" x14ac:dyDescent="0.25">
      <c r="A49" s="60" t="s">
        <v>226</v>
      </c>
      <c r="B49" s="6" t="s">
        <v>227</v>
      </c>
      <c r="C49" s="2" t="s">
        <v>1678</v>
      </c>
      <c r="D49" s="2" t="s">
        <v>228</v>
      </c>
      <c r="E49" s="2" t="s">
        <v>111</v>
      </c>
      <c r="F49" s="2" t="s">
        <v>64</v>
      </c>
      <c r="G49" s="2" t="s">
        <v>19</v>
      </c>
      <c r="H49" s="5">
        <v>44731</v>
      </c>
      <c r="I49" t="str">
        <f ca="1">IF(COUNTIFS(Creditos!B:B,A49,Creditos!R:R,"En mora")&gt;0,"Sí","No")</f>
        <v>No</v>
      </c>
      <c r="J49" t="str">
        <f>IF(COUNTIF(Creditos!B:B,A49)&gt;0,"Sí","No")</f>
        <v>Sí</v>
      </c>
      <c r="K49" t="str">
        <f>IF(COUNTIF(Depositos!B:B,A49)&gt;0,"Sí","No")</f>
        <v>No</v>
      </c>
    </row>
    <row r="50" spans="1:11" x14ac:dyDescent="0.25">
      <c r="A50" s="60" t="s">
        <v>229</v>
      </c>
      <c r="B50" s="6" t="s">
        <v>230</v>
      </c>
      <c r="C50" s="2" t="s">
        <v>1679</v>
      </c>
      <c r="D50" s="2" t="s">
        <v>231</v>
      </c>
      <c r="E50" s="2" t="s">
        <v>68</v>
      </c>
      <c r="F50" s="2" t="s">
        <v>84</v>
      </c>
      <c r="G50" s="2" t="s">
        <v>14</v>
      </c>
      <c r="H50" s="5">
        <v>44499</v>
      </c>
      <c r="I50" t="str">
        <f ca="1">IF(COUNTIFS(Creditos!B:B,A50,Creditos!R:R,"En mora")&gt;0,"Sí","No")</f>
        <v>No</v>
      </c>
      <c r="J50" t="str">
        <f>IF(COUNTIF(Creditos!B:B,A50)&gt;0,"Sí","No")</f>
        <v>Sí</v>
      </c>
      <c r="K50" t="str">
        <f>IF(COUNTIF(Depositos!B:B,A50)&gt;0,"Sí","No")</f>
        <v>No</v>
      </c>
    </row>
    <row r="51" spans="1:11" x14ac:dyDescent="0.25">
      <c r="A51" s="60" t="s">
        <v>232</v>
      </c>
      <c r="B51" s="6" t="s">
        <v>233</v>
      </c>
      <c r="C51" s="2" t="s">
        <v>1680</v>
      </c>
      <c r="D51" s="2" t="s">
        <v>234</v>
      </c>
      <c r="E51" s="2" t="s">
        <v>126</v>
      </c>
      <c r="F51" s="2" t="s">
        <v>64</v>
      </c>
      <c r="G51" s="2" t="s">
        <v>8</v>
      </c>
      <c r="H51" s="5">
        <v>44485</v>
      </c>
      <c r="I51" t="str">
        <f ca="1">IF(COUNTIFS(Creditos!B:B,A51,Creditos!R:R,"En mora")&gt;0,"Sí","No")</f>
        <v>No</v>
      </c>
      <c r="J51" t="str">
        <f>IF(COUNTIF(Creditos!B:B,A51)&gt;0,"Sí","No")</f>
        <v>Sí</v>
      </c>
      <c r="K51" t="str">
        <f>IF(COUNTIF(Depositos!B:B,A51)&gt;0,"Sí","No")</f>
        <v>Sí</v>
      </c>
    </row>
    <row r="52" spans="1:11" x14ac:dyDescent="0.25">
      <c r="A52" s="60" t="s">
        <v>235</v>
      </c>
      <c r="B52" s="6" t="s">
        <v>236</v>
      </c>
      <c r="C52" s="2" t="s">
        <v>1681</v>
      </c>
      <c r="D52" s="2" t="s">
        <v>237</v>
      </c>
      <c r="E52" s="2" t="s">
        <v>238</v>
      </c>
      <c r="F52" s="2" t="s">
        <v>64</v>
      </c>
      <c r="G52" s="2" t="s">
        <v>8</v>
      </c>
      <c r="H52" s="5">
        <v>44696</v>
      </c>
      <c r="I52" t="str">
        <f>IF(COUNTIFS(Creditos!B:B,A52,Creditos!R:R,"En mora")&gt;0,"Sí","No")</f>
        <v>No</v>
      </c>
      <c r="J52" t="str">
        <f>IF(COUNTIF(Creditos!B:B,A52)&gt;0,"Sí","No")</f>
        <v>No</v>
      </c>
      <c r="K52" t="str">
        <f>IF(COUNTIF(Depositos!B:B,A52)&gt;0,"Sí","No")</f>
        <v>Sí</v>
      </c>
    </row>
    <row r="53" spans="1:11" x14ac:dyDescent="0.25">
      <c r="A53" s="60" t="s">
        <v>239</v>
      </c>
      <c r="B53" s="6" t="s">
        <v>240</v>
      </c>
      <c r="C53" s="2" t="s">
        <v>1682</v>
      </c>
      <c r="D53" s="2" t="s">
        <v>241</v>
      </c>
      <c r="E53" s="2" t="s">
        <v>7</v>
      </c>
      <c r="F53" s="2" t="s">
        <v>64</v>
      </c>
      <c r="G53" s="2" t="s">
        <v>6</v>
      </c>
      <c r="H53" s="5">
        <v>45697</v>
      </c>
      <c r="I53" t="str">
        <f ca="1">IF(COUNTIFS(Creditos!B:B,A53,Creditos!R:R,"En mora")&gt;0,"Sí","No")</f>
        <v>No</v>
      </c>
      <c r="J53" t="str">
        <f>IF(COUNTIF(Creditos!B:B,A53)&gt;0,"Sí","No")</f>
        <v>Sí</v>
      </c>
      <c r="K53" t="str">
        <f>IF(COUNTIF(Depositos!B:B,A53)&gt;0,"Sí","No")</f>
        <v>No</v>
      </c>
    </row>
    <row r="54" spans="1:11" x14ac:dyDescent="0.25">
      <c r="A54" s="60" t="s">
        <v>242</v>
      </c>
      <c r="B54" s="6" t="s">
        <v>243</v>
      </c>
      <c r="C54" s="2" t="s">
        <v>1683</v>
      </c>
      <c r="D54" s="2" t="s">
        <v>244</v>
      </c>
      <c r="E54" s="2" t="s">
        <v>169</v>
      </c>
      <c r="F54" s="2" t="s">
        <v>64</v>
      </c>
      <c r="G54" s="2" t="s">
        <v>17</v>
      </c>
      <c r="H54" s="5">
        <v>45250</v>
      </c>
      <c r="I54" t="str">
        <f>IF(COUNTIFS(Creditos!B:B,A54,Creditos!R:R,"En mora")&gt;0,"Sí","No")</f>
        <v>No</v>
      </c>
      <c r="J54" t="str">
        <f>IF(COUNTIF(Creditos!B:B,A54)&gt;0,"Sí","No")</f>
        <v>No</v>
      </c>
      <c r="K54" t="str">
        <f>IF(COUNTIF(Depositos!B:B,A54)&gt;0,"Sí","No")</f>
        <v>Sí</v>
      </c>
    </row>
    <row r="55" spans="1:11" x14ac:dyDescent="0.25">
      <c r="A55" s="60" t="s">
        <v>245</v>
      </c>
      <c r="B55" s="6" t="s">
        <v>246</v>
      </c>
      <c r="C55" s="2" t="s">
        <v>1684</v>
      </c>
      <c r="D55" s="2" t="s">
        <v>247</v>
      </c>
      <c r="E55" s="2" t="s">
        <v>72</v>
      </c>
      <c r="F55" s="2" t="s">
        <v>64</v>
      </c>
      <c r="G55" s="2" t="s">
        <v>3</v>
      </c>
      <c r="H55" s="5">
        <v>44651</v>
      </c>
      <c r="I55" t="str">
        <f ca="1">IF(COUNTIFS(Creditos!B:B,A55,Creditos!R:R,"En mora")&gt;0,"Sí","No")</f>
        <v>No</v>
      </c>
      <c r="J55" t="str">
        <f>IF(COUNTIF(Creditos!B:B,A55)&gt;0,"Sí","No")</f>
        <v>Sí</v>
      </c>
      <c r="K55" t="str">
        <f>IF(COUNTIF(Depositos!B:B,A55)&gt;0,"Sí","No")</f>
        <v>Sí</v>
      </c>
    </row>
    <row r="56" spans="1:11" x14ac:dyDescent="0.25">
      <c r="A56" s="60" t="s">
        <v>248</v>
      </c>
      <c r="B56" s="6" t="s">
        <v>249</v>
      </c>
      <c r="C56" s="2" t="s">
        <v>1685</v>
      </c>
      <c r="D56" s="2" t="s">
        <v>250</v>
      </c>
      <c r="E56" s="2" t="s">
        <v>68</v>
      </c>
      <c r="F56" s="2" t="s">
        <v>64</v>
      </c>
      <c r="G56" s="2" t="s">
        <v>14</v>
      </c>
      <c r="H56" s="5">
        <v>45081</v>
      </c>
      <c r="I56" t="str">
        <f ca="1">IF(COUNTIFS(Creditos!B:B,A56,Creditos!R:R,"En mora")&gt;0,"Sí","No")</f>
        <v>No</v>
      </c>
      <c r="J56" t="str">
        <f>IF(COUNTIF(Creditos!B:B,A56)&gt;0,"Sí","No")</f>
        <v>Sí</v>
      </c>
      <c r="K56" t="str">
        <f>IF(COUNTIF(Depositos!B:B,A56)&gt;0,"Sí","No")</f>
        <v>Sí</v>
      </c>
    </row>
    <row r="57" spans="1:11" x14ac:dyDescent="0.25">
      <c r="A57" s="60" t="s">
        <v>251</v>
      </c>
      <c r="B57" s="6" t="s">
        <v>252</v>
      </c>
      <c r="C57" s="2" t="s">
        <v>1686</v>
      </c>
      <c r="D57" s="2" t="s">
        <v>253</v>
      </c>
      <c r="E57" s="2" t="s">
        <v>162</v>
      </c>
      <c r="F57" s="2" t="s">
        <v>84</v>
      </c>
      <c r="G57" s="2" t="s">
        <v>21</v>
      </c>
      <c r="H57" s="5">
        <v>45715</v>
      </c>
      <c r="I57" t="str">
        <f ca="1">IF(COUNTIFS(Creditos!B:B,A57,Creditos!R:R,"En mora")&gt;0,"Sí","No")</f>
        <v>No</v>
      </c>
      <c r="J57" t="str">
        <f>IF(COUNTIF(Creditos!B:B,A57)&gt;0,"Sí","No")</f>
        <v>Sí</v>
      </c>
      <c r="K57" t="str">
        <f>IF(COUNTIF(Depositos!B:B,A57)&gt;0,"Sí","No")</f>
        <v>No</v>
      </c>
    </row>
    <row r="58" spans="1:11" x14ac:dyDescent="0.25">
      <c r="A58" s="60" t="s">
        <v>254</v>
      </c>
      <c r="B58" s="6" t="s">
        <v>255</v>
      </c>
      <c r="C58" s="2" t="s">
        <v>1687</v>
      </c>
      <c r="D58" s="2" t="s">
        <v>256</v>
      </c>
      <c r="E58" s="2" t="s">
        <v>225</v>
      </c>
      <c r="F58" s="2" t="s">
        <v>64</v>
      </c>
      <c r="G58" s="2" t="s">
        <v>6</v>
      </c>
      <c r="H58" s="5">
        <v>45909</v>
      </c>
      <c r="I58" t="str">
        <f ca="1">IF(COUNTIFS(Creditos!B:B,A58,Creditos!R:R,"En mora")&gt;0,"Sí","No")</f>
        <v>No</v>
      </c>
      <c r="J58" t="str">
        <f>IF(COUNTIF(Creditos!B:B,A58)&gt;0,"Sí","No")</f>
        <v>Sí</v>
      </c>
      <c r="K58" t="str">
        <f>IF(COUNTIF(Depositos!B:B,A58)&gt;0,"Sí","No")</f>
        <v>Sí</v>
      </c>
    </row>
    <row r="59" spans="1:11" x14ac:dyDescent="0.25">
      <c r="A59" s="60" t="s">
        <v>257</v>
      </c>
      <c r="B59" s="6" t="s">
        <v>258</v>
      </c>
      <c r="C59" s="2" t="s">
        <v>1688</v>
      </c>
      <c r="D59" s="2" t="s">
        <v>259</v>
      </c>
      <c r="E59" s="2" t="s">
        <v>140</v>
      </c>
      <c r="F59" s="2" t="s">
        <v>64</v>
      </c>
      <c r="G59" s="2" t="s">
        <v>19</v>
      </c>
      <c r="H59" s="5">
        <v>44928</v>
      </c>
      <c r="I59" t="str">
        <f>IF(COUNTIFS(Creditos!B:B,A59,Creditos!R:R,"En mora")&gt;0,"Sí","No")</f>
        <v>No</v>
      </c>
      <c r="J59" t="str">
        <f>IF(COUNTIF(Creditos!B:B,A59)&gt;0,"Sí","No")</f>
        <v>No</v>
      </c>
      <c r="K59" t="str">
        <f>IF(COUNTIF(Depositos!B:B,A59)&gt;0,"Sí","No")</f>
        <v>Sí</v>
      </c>
    </row>
    <row r="60" spans="1:11" x14ac:dyDescent="0.25">
      <c r="A60" s="60" t="s">
        <v>260</v>
      </c>
      <c r="B60" s="6" t="s">
        <v>261</v>
      </c>
      <c r="C60" s="2" t="s">
        <v>1689</v>
      </c>
      <c r="D60" s="2" t="s">
        <v>262</v>
      </c>
      <c r="E60" s="2" t="s">
        <v>79</v>
      </c>
      <c r="F60" s="2" t="s">
        <v>64</v>
      </c>
      <c r="G60" s="2" t="s">
        <v>17</v>
      </c>
      <c r="H60" s="5">
        <v>45510</v>
      </c>
      <c r="I60" t="str">
        <f ca="1">IF(COUNTIFS(Creditos!B:B,A60,Creditos!R:R,"En mora")&gt;0,"Sí","No")</f>
        <v>No</v>
      </c>
      <c r="J60" t="str">
        <f>IF(COUNTIF(Creditos!B:B,A60)&gt;0,"Sí","No")</f>
        <v>Sí</v>
      </c>
      <c r="K60" t="str">
        <f>IF(COUNTIF(Depositos!B:B,A60)&gt;0,"Sí","No")</f>
        <v>Sí</v>
      </c>
    </row>
    <row r="61" spans="1:11" x14ac:dyDescent="0.25">
      <c r="A61" s="60" t="s">
        <v>263</v>
      </c>
      <c r="B61" s="6" t="s">
        <v>264</v>
      </c>
      <c r="C61" s="2" t="s">
        <v>1690</v>
      </c>
      <c r="D61" s="2" t="s">
        <v>265</v>
      </c>
      <c r="E61" s="2" t="s">
        <v>63</v>
      </c>
      <c r="F61" s="2" t="s">
        <v>64</v>
      </c>
      <c r="G61" s="2" t="s">
        <v>19</v>
      </c>
      <c r="H61" s="5">
        <v>44510</v>
      </c>
      <c r="I61" t="str">
        <f ca="1">IF(COUNTIFS(Creditos!B:B,A61,Creditos!R:R,"En mora")&gt;0,"Sí","No")</f>
        <v>No</v>
      </c>
      <c r="J61" t="str">
        <f>IF(COUNTIF(Creditos!B:B,A61)&gt;0,"Sí","No")</f>
        <v>Sí</v>
      </c>
      <c r="K61" t="str">
        <f>IF(COUNTIF(Depositos!B:B,A61)&gt;0,"Sí","No")</f>
        <v>Sí</v>
      </c>
    </row>
    <row r="62" spans="1:11" x14ac:dyDescent="0.25">
      <c r="A62" s="60" t="s">
        <v>266</v>
      </c>
      <c r="B62" s="6" t="s">
        <v>267</v>
      </c>
      <c r="C62" s="2" t="s">
        <v>1691</v>
      </c>
      <c r="D62" s="2" t="s">
        <v>268</v>
      </c>
      <c r="E62" s="2" t="s">
        <v>169</v>
      </c>
      <c r="F62" s="2" t="s">
        <v>64</v>
      </c>
      <c r="G62" s="2" t="s">
        <v>17</v>
      </c>
      <c r="H62" s="5">
        <v>45633</v>
      </c>
      <c r="I62" t="str">
        <f ca="1">IF(COUNTIFS(Creditos!B:B,A62,Creditos!R:R,"En mora")&gt;0,"Sí","No")</f>
        <v>Sí</v>
      </c>
      <c r="J62" t="str">
        <f>IF(COUNTIF(Creditos!B:B,A62)&gt;0,"Sí","No")</f>
        <v>Sí</v>
      </c>
      <c r="K62" t="str">
        <f>IF(COUNTIF(Depositos!B:B,A62)&gt;0,"Sí","No")</f>
        <v>Sí</v>
      </c>
    </row>
    <row r="63" spans="1:11" x14ac:dyDescent="0.25">
      <c r="A63" s="60" t="s">
        <v>269</v>
      </c>
      <c r="B63" s="6" t="s">
        <v>270</v>
      </c>
      <c r="C63" s="2" t="s">
        <v>1692</v>
      </c>
      <c r="D63" s="2" t="s">
        <v>271</v>
      </c>
      <c r="E63" s="2" t="s">
        <v>169</v>
      </c>
      <c r="F63" s="2" t="s">
        <v>64</v>
      </c>
      <c r="G63" s="2" t="s">
        <v>17</v>
      </c>
      <c r="H63" s="5">
        <v>45026</v>
      </c>
      <c r="I63" t="str">
        <f>IF(COUNTIFS(Creditos!B:B,A63,Creditos!R:R,"En mora")&gt;0,"Sí","No")</f>
        <v>No</v>
      </c>
      <c r="J63" t="str">
        <f>IF(COUNTIF(Creditos!B:B,A63)&gt;0,"Sí","No")</f>
        <v>No</v>
      </c>
      <c r="K63" t="str">
        <f>IF(COUNTIF(Depositos!B:B,A63)&gt;0,"Sí","No")</f>
        <v>Sí</v>
      </c>
    </row>
    <row r="64" spans="1:11" x14ac:dyDescent="0.25">
      <c r="A64" s="60" t="s">
        <v>272</v>
      </c>
      <c r="B64" s="6" t="s">
        <v>273</v>
      </c>
      <c r="C64" s="2" t="s">
        <v>1693</v>
      </c>
      <c r="D64" s="2" t="s">
        <v>274</v>
      </c>
      <c r="E64" s="2" t="s">
        <v>275</v>
      </c>
      <c r="F64" s="2" t="s">
        <v>64</v>
      </c>
      <c r="G64" s="2" t="s">
        <v>11</v>
      </c>
      <c r="H64" s="5">
        <v>44685</v>
      </c>
      <c r="I64" t="str">
        <f>IF(COUNTIFS(Creditos!B:B,A64,Creditos!R:R,"En mora")&gt;0,"Sí","No")</f>
        <v>Sí</v>
      </c>
      <c r="J64" t="str">
        <f>IF(COUNTIF(Creditos!B:B,A64)&gt;0,"Sí","No")</f>
        <v>Sí</v>
      </c>
      <c r="K64" t="str">
        <f>IF(COUNTIF(Depositos!B:B,A64)&gt;0,"Sí","No")</f>
        <v>No</v>
      </c>
    </row>
    <row r="65" spans="1:11" x14ac:dyDescent="0.25">
      <c r="A65" s="60" t="s">
        <v>276</v>
      </c>
      <c r="B65" s="6" t="s">
        <v>277</v>
      </c>
      <c r="C65" s="2" t="s">
        <v>1694</v>
      </c>
      <c r="D65" s="2" t="s">
        <v>278</v>
      </c>
      <c r="E65" s="2" t="s">
        <v>99</v>
      </c>
      <c r="F65" s="2" t="s">
        <v>64</v>
      </c>
      <c r="G65" s="2" t="s">
        <v>11</v>
      </c>
      <c r="H65" s="5">
        <v>46215</v>
      </c>
      <c r="I65" t="str">
        <f ca="1">IF(COUNTIFS(Creditos!B:B,A65,Creditos!R:R,"En mora")&gt;0,"Sí","No")</f>
        <v>No</v>
      </c>
      <c r="J65" t="str">
        <f>IF(COUNTIF(Creditos!B:B,A65)&gt;0,"Sí","No")</f>
        <v>Sí</v>
      </c>
      <c r="K65" t="str">
        <f>IF(COUNTIF(Depositos!B:B,A65)&gt;0,"Sí","No")</f>
        <v>Sí</v>
      </c>
    </row>
    <row r="66" spans="1:11" x14ac:dyDescent="0.25">
      <c r="A66" s="60" t="s">
        <v>279</v>
      </c>
      <c r="B66" s="6" t="s">
        <v>280</v>
      </c>
      <c r="C66" s="2" t="s">
        <v>1695</v>
      </c>
      <c r="D66" s="2" t="s">
        <v>281</v>
      </c>
      <c r="E66" s="2" t="s">
        <v>79</v>
      </c>
      <c r="F66" s="2" t="s">
        <v>64</v>
      </c>
      <c r="G66" s="2" t="s">
        <v>17</v>
      </c>
      <c r="H66" s="5">
        <v>45554</v>
      </c>
      <c r="I66" t="str">
        <f>IF(COUNTIFS(Creditos!B:B,A66,Creditos!R:R,"En mora")&gt;0,"Sí","No")</f>
        <v>No</v>
      </c>
      <c r="J66" t="str">
        <f>IF(COUNTIF(Creditos!B:B,A66)&gt;0,"Sí","No")</f>
        <v>No</v>
      </c>
      <c r="K66" t="str">
        <f>IF(COUNTIF(Depositos!B:B,A66)&gt;0,"Sí","No")</f>
        <v>Sí</v>
      </c>
    </row>
    <row r="67" spans="1:11" x14ac:dyDescent="0.25">
      <c r="A67" s="60" t="s">
        <v>282</v>
      </c>
      <c r="B67" s="6" t="s">
        <v>283</v>
      </c>
      <c r="C67" s="2" t="s">
        <v>1696</v>
      </c>
      <c r="D67" s="2" t="s">
        <v>284</v>
      </c>
      <c r="E67" s="2" t="s">
        <v>136</v>
      </c>
      <c r="F67" s="2" t="s">
        <v>64</v>
      </c>
      <c r="G67" s="2" t="s">
        <v>3</v>
      </c>
      <c r="H67" s="5">
        <v>45561</v>
      </c>
      <c r="I67" t="str">
        <f>IF(COUNTIFS(Creditos!B:B,A67,Creditos!R:R,"En mora")&gt;0,"Sí","No")</f>
        <v>Sí</v>
      </c>
      <c r="J67" t="str">
        <f>IF(COUNTIF(Creditos!B:B,A67)&gt;0,"Sí","No")</f>
        <v>Sí</v>
      </c>
      <c r="K67" t="str">
        <f>IF(COUNTIF(Depositos!B:B,A67)&gt;0,"Sí","No")</f>
        <v>No</v>
      </c>
    </row>
    <row r="68" spans="1:11" x14ac:dyDescent="0.25">
      <c r="A68" s="60" t="s">
        <v>285</v>
      </c>
      <c r="B68" s="6" t="s">
        <v>286</v>
      </c>
      <c r="C68" s="2" t="s">
        <v>1697</v>
      </c>
      <c r="D68" s="2" t="s">
        <v>287</v>
      </c>
      <c r="E68" s="2" t="s">
        <v>68</v>
      </c>
      <c r="F68" s="2" t="s">
        <v>64</v>
      </c>
      <c r="G68" s="2" t="s">
        <v>14</v>
      </c>
      <c r="H68" s="5">
        <v>46020</v>
      </c>
      <c r="I68" t="str">
        <f ca="1">IF(COUNTIFS(Creditos!B:B,A68,Creditos!R:R,"En mora")&gt;0,"Sí","No")</f>
        <v>Sí</v>
      </c>
      <c r="J68" t="str">
        <f>IF(COUNTIF(Creditos!B:B,A68)&gt;0,"Sí","No")</f>
        <v>Sí</v>
      </c>
      <c r="K68" t="str">
        <f>IF(COUNTIF(Depositos!B:B,A68)&gt;0,"Sí","No")</f>
        <v>Sí</v>
      </c>
    </row>
    <row r="69" spans="1:11" x14ac:dyDescent="0.25">
      <c r="A69" s="60" t="s">
        <v>288</v>
      </c>
      <c r="B69" s="6" t="s">
        <v>289</v>
      </c>
      <c r="C69" s="2" t="s">
        <v>1698</v>
      </c>
      <c r="D69" s="2" t="s">
        <v>290</v>
      </c>
      <c r="E69" s="2" t="s">
        <v>275</v>
      </c>
      <c r="F69" s="2" t="s">
        <v>84</v>
      </c>
      <c r="G69" s="2" t="s">
        <v>11</v>
      </c>
      <c r="H69" s="5">
        <v>44469</v>
      </c>
      <c r="I69" t="str">
        <f ca="1">IF(COUNTIFS(Creditos!B:B,A69,Creditos!R:R,"En mora")&gt;0,"Sí","No")</f>
        <v>No</v>
      </c>
      <c r="J69" t="str">
        <f>IF(COUNTIF(Creditos!B:B,A69)&gt;0,"Sí","No")</f>
        <v>Sí</v>
      </c>
      <c r="K69" t="str">
        <f>IF(COUNTIF(Depositos!B:B,A69)&gt;0,"Sí","No")</f>
        <v>Sí</v>
      </c>
    </row>
    <row r="70" spans="1:11" x14ac:dyDescent="0.25">
      <c r="A70" s="60" t="s">
        <v>291</v>
      </c>
      <c r="B70" s="6" t="s">
        <v>292</v>
      </c>
      <c r="C70" s="2" t="s">
        <v>1699</v>
      </c>
      <c r="D70" s="2" t="s">
        <v>293</v>
      </c>
      <c r="E70" s="2" t="s">
        <v>68</v>
      </c>
      <c r="F70" s="2" t="s">
        <v>84</v>
      </c>
      <c r="G70" s="2" t="s">
        <v>14</v>
      </c>
      <c r="H70" s="5">
        <v>44596</v>
      </c>
      <c r="I70" t="str">
        <f>IF(COUNTIFS(Creditos!B:B,A70,Creditos!R:R,"En mora")&gt;0,"Sí","No")</f>
        <v>No</v>
      </c>
      <c r="J70" t="str">
        <f>IF(COUNTIF(Creditos!B:B,A70)&gt;0,"Sí","No")</f>
        <v>No</v>
      </c>
      <c r="K70" t="str">
        <f>IF(COUNTIF(Depositos!B:B,A70)&gt;0,"Sí","No")</f>
        <v>Sí</v>
      </c>
    </row>
    <row r="71" spans="1:11" x14ac:dyDescent="0.25">
      <c r="A71" s="60" t="s">
        <v>294</v>
      </c>
      <c r="B71" s="6" t="s">
        <v>295</v>
      </c>
      <c r="C71" s="2" t="s">
        <v>1700</v>
      </c>
      <c r="D71" s="2" t="s">
        <v>296</v>
      </c>
      <c r="E71" s="2" t="s">
        <v>225</v>
      </c>
      <c r="F71" s="2" t="s">
        <v>84</v>
      </c>
      <c r="G71" s="2" t="s">
        <v>3</v>
      </c>
      <c r="H71" s="5">
        <v>45424</v>
      </c>
      <c r="I71" t="str">
        <f ca="1">IF(COUNTIFS(Creditos!B:B,A71,Creditos!R:R,"En mora")&gt;0,"Sí","No")</f>
        <v>Sí</v>
      </c>
      <c r="J71" t="str">
        <f>IF(COUNTIF(Creditos!B:B,A71)&gt;0,"Sí","No")</f>
        <v>Sí</v>
      </c>
      <c r="K71" t="str">
        <f>IF(COUNTIF(Depositos!B:B,A71)&gt;0,"Sí","No")</f>
        <v>Sí</v>
      </c>
    </row>
    <row r="72" spans="1:11" x14ac:dyDescent="0.25">
      <c r="A72" s="60" t="s">
        <v>297</v>
      </c>
      <c r="B72" s="6" t="s">
        <v>298</v>
      </c>
      <c r="C72" s="2" t="s">
        <v>1701</v>
      </c>
      <c r="D72" s="2" t="s">
        <v>299</v>
      </c>
      <c r="E72" s="2" t="s">
        <v>300</v>
      </c>
      <c r="F72" s="2" t="s">
        <v>84</v>
      </c>
      <c r="G72" s="2" t="s">
        <v>8</v>
      </c>
      <c r="H72" s="5">
        <v>44817</v>
      </c>
      <c r="I72" t="str">
        <f ca="1">IF(COUNTIFS(Creditos!B:B,A72,Creditos!R:R,"En mora")&gt;0,"Sí","No")</f>
        <v>No</v>
      </c>
      <c r="J72" t="str">
        <f>IF(COUNTIF(Creditos!B:B,A72)&gt;0,"Sí","No")</f>
        <v>Sí</v>
      </c>
      <c r="K72" t="str">
        <f>IF(COUNTIF(Depositos!B:B,A72)&gt;0,"Sí","No")</f>
        <v>Sí</v>
      </c>
    </row>
    <row r="73" spans="1:11" x14ac:dyDescent="0.25">
      <c r="A73" s="60" t="s">
        <v>301</v>
      </c>
      <c r="B73" s="6" t="s">
        <v>302</v>
      </c>
      <c r="C73" s="2" t="s">
        <v>1702</v>
      </c>
      <c r="D73" s="2" t="s">
        <v>303</v>
      </c>
      <c r="E73" s="2" t="s">
        <v>72</v>
      </c>
      <c r="F73" s="2" t="s">
        <v>64</v>
      </c>
      <c r="G73" s="2" t="s">
        <v>6</v>
      </c>
      <c r="H73" s="5">
        <v>44806</v>
      </c>
      <c r="I73" t="str">
        <f ca="1">IF(COUNTIFS(Creditos!B:B,A73,Creditos!R:R,"En mora")&gt;0,"Sí","No")</f>
        <v>No</v>
      </c>
      <c r="J73" t="str">
        <f>IF(COUNTIF(Creditos!B:B,A73)&gt;0,"Sí","No")</f>
        <v>Sí</v>
      </c>
      <c r="K73" t="str">
        <f>IF(COUNTIF(Depositos!B:B,A73)&gt;0,"Sí","No")</f>
        <v>No</v>
      </c>
    </row>
    <row r="74" spans="1:11" x14ac:dyDescent="0.25">
      <c r="A74" s="60" t="s">
        <v>304</v>
      </c>
      <c r="B74" s="6" t="s">
        <v>305</v>
      </c>
      <c r="C74" s="2" t="s">
        <v>1703</v>
      </c>
      <c r="D74" s="2" t="s">
        <v>306</v>
      </c>
      <c r="E74" s="2" t="s">
        <v>107</v>
      </c>
      <c r="F74" s="2" t="s">
        <v>64</v>
      </c>
      <c r="G74" s="2" t="s">
        <v>8</v>
      </c>
      <c r="H74" s="5">
        <v>44491</v>
      </c>
      <c r="I74" t="str">
        <f>IF(COUNTIFS(Creditos!B:B,A74,Creditos!R:R,"En mora")&gt;0,"Sí","No")</f>
        <v>No</v>
      </c>
      <c r="J74" t="str">
        <f>IF(COUNTIF(Creditos!B:B,A74)&gt;0,"Sí","No")</f>
        <v>No</v>
      </c>
      <c r="K74" t="str">
        <f>IF(COUNTIF(Depositos!B:B,A74)&gt;0,"Sí","No")</f>
        <v>Sí</v>
      </c>
    </row>
    <row r="75" spans="1:11" x14ac:dyDescent="0.25">
      <c r="A75" s="60" t="s">
        <v>307</v>
      </c>
      <c r="B75" s="6" t="s">
        <v>308</v>
      </c>
      <c r="C75" s="2" t="s">
        <v>1704</v>
      </c>
      <c r="D75" s="2" t="s">
        <v>309</v>
      </c>
      <c r="E75" s="2" t="s">
        <v>99</v>
      </c>
      <c r="F75" s="2" t="s">
        <v>64</v>
      </c>
      <c r="G75" s="2" t="s">
        <v>11</v>
      </c>
      <c r="H75" s="5">
        <v>45602</v>
      </c>
      <c r="I75" t="str">
        <f ca="1">IF(COUNTIFS(Creditos!B:B,A75,Creditos!R:R,"En mora")&gt;0,"Sí","No")</f>
        <v>No</v>
      </c>
      <c r="J75" t="str">
        <f>IF(COUNTIF(Creditos!B:B,A75)&gt;0,"Sí","No")</f>
        <v>Sí</v>
      </c>
      <c r="K75" t="str">
        <f>IF(COUNTIF(Depositos!B:B,A75)&gt;0,"Sí","No")</f>
        <v>Sí</v>
      </c>
    </row>
    <row r="76" spans="1:11" x14ac:dyDescent="0.25">
      <c r="A76" s="60" t="s">
        <v>310</v>
      </c>
      <c r="B76" s="6" t="s">
        <v>311</v>
      </c>
      <c r="C76" s="2" t="s">
        <v>1705</v>
      </c>
      <c r="D76" s="2" t="s">
        <v>312</v>
      </c>
      <c r="E76" s="2" t="s">
        <v>313</v>
      </c>
      <c r="F76" s="2" t="s">
        <v>64</v>
      </c>
      <c r="G76" s="2" t="s">
        <v>17</v>
      </c>
      <c r="H76" s="5">
        <v>45983</v>
      </c>
      <c r="I76" t="str">
        <f>IF(COUNTIFS(Creditos!B:B,A76,Creditos!R:R,"En mora")&gt;0,"Sí","No")</f>
        <v>No</v>
      </c>
      <c r="J76" t="str">
        <f>IF(COUNTIF(Creditos!B:B,A76)&gt;0,"Sí","No")</f>
        <v>No</v>
      </c>
      <c r="K76" t="str">
        <f>IF(COUNTIF(Depositos!B:B,A76)&gt;0,"Sí","No")</f>
        <v>Sí</v>
      </c>
    </row>
    <row r="77" spans="1:11" x14ac:dyDescent="0.25">
      <c r="A77" s="60" t="s">
        <v>314</v>
      </c>
      <c r="B77" s="6" t="s">
        <v>315</v>
      </c>
      <c r="C77" s="2" t="s">
        <v>1706</v>
      </c>
      <c r="D77" s="2" t="s">
        <v>316</v>
      </c>
      <c r="E77" s="2" t="s">
        <v>126</v>
      </c>
      <c r="F77" s="2" t="s">
        <v>64</v>
      </c>
      <c r="G77" s="2" t="s">
        <v>8</v>
      </c>
      <c r="H77" s="5">
        <v>46096</v>
      </c>
      <c r="I77" t="str">
        <f ca="1">IF(COUNTIFS(Creditos!B:B,A77,Creditos!R:R,"En mora")&gt;0,"Sí","No")</f>
        <v>No</v>
      </c>
      <c r="J77" t="str">
        <f>IF(COUNTIF(Creditos!B:B,A77)&gt;0,"Sí","No")</f>
        <v>Sí</v>
      </c>
      <c r="K77" t="str">
        <f>IF(COUNTIF(Depositos!B:B,A77)&gt;0,"Sí","No")</f>
        <v>Sí</v>
      </c>
    </row>
    <row r="78" spans="1:11" x14ac:dyDescent="0.25">
      <c r="A78" s="60" t="s">
        <v>317</v>
      </c>
      <c r="B78" s="6" t="s">
        <v>318</v>
      </c>
      <c r="C78" s="2" t="s">
        <v>1707</v>
      </c>
      <c r="D78" s="2" t="s">
        <v>319</v>
      </c>
      <c r="E78" s="2" t="s">
        <v>72</v>
      </c>
      <c r="F78" s="2" t="s">
        <v>64</v>
      </c>
      <c r="G78" s="2" t="s">
        <v>6</v>
      </c>
      <c r="H78" s="5">
        <v>45048</v>
      </c>
      <c r="I78" t="str">
        <f ca="1">IF(COUNTIFS(Creditos!B:B,A78,Creditos!R:R,"En mora")&gt;0,"Sí","No")</f>
        <v>No</v>
      </c>
      <c r="J78" t="str">
        <f>IF(COUNTIF(Creditos!B:B,A78)&gt;0,"Sí","No")</f>
        <v>Sí</v>
      </c>
      <c r="K78" t="str">
        <f>IF(COUNTIF(Depositos!B:B,A78)&gt;0,"Sí","No")</f>
        <v>Sí</v>
      </c>
    </row>
    <row r="79" spans="1:11" x14ac:dyDescent="0.25">
      <c r="A79" s="60" t="s">
        <v>320</v>
      </c>
      <c r="B79" s="6" t="s">
        <v>321</v>
      </c>
      <c r="C79" s="2" t="s">
        <v>1708</v>
      </c>
      <c r="D79" s="2" t="s">
        <v>322</v>
      </c>
      <c r="E79" s="2" t="s">
        <v>275</v>
      </c>
      <c r="F79" s="2" t="s">
        <v>64</v>
      </c>
      <c r="G79" s="2" t="s">
        <v>11</v>
      </c>
      <c r="H79" s="5">
        <v>45543</v>
      </c>
      <c r="I79" t="str">
        <f>IF(COUNTIFS(Creditos!B:B,A79,Creditos!R:R,"En mora")&gt;0,"Sí","No")</f>
        <v>No</v>
      </c>
      <c r="J79" t="str">
        <f>IF(COUNTIF(Creditos!B:B,A79)&gt;0,"Sí","No")</f>
        <v>No</v>
      </c>
      <c r="K79" t="str">
        <f>IF(COUNTIF(Depositos!B:B,A79)&gt;0,"Sí","No")</f>
        <v>Sí</v>
      </c>
    </row>
    <row r="80" spans="1:11" x14ac:dyDescent="0.25">
      <c r="A80" s="60" t="s">
        <v>323</v>
      </c>
      <c r="B80" s="6" t="s">
        <v>324</v>
      </c>
      <c r="C80" s="2" t="s">
        <v>1709</v>
      </c>
      <c r="D80" s="2" t="s">
        <v>325</v>
      </c>
      <c r="E80" s="2" t="s">
        <v>115</v>
      </c>
      <c r="F80" s="2" t="s">
        <v>64</v>
      </c>
      <c r="G80" s="2" t="s">
        <v>14</v>
      </c>
      <c r="H80" s="5">
        <v>45839</v>
      </c>
      <c r="I80" t="str">
        <f ca="1">IF(COUNTIFS(Creditos!B:B,A80,Creditos!R:R,"En mora")&gt;0,"Sí","No")</f>
        <v>No</v>
      </c>
      <c r="J80" t="str">
        <f>IF(COUNTIF(Creditos!B:B,A80)&gt;0,"Sí","No")</f>
        <v>Sí</v>
      </c>
      <c r="K80" t="str">
        <f>IF(COUNTIF(Depositos!B:B,A80)&gt;0,"Sí","No")</f>
        <v>Sí</v>
      </c>
    </row>
    <row r="81" spans="1:11" x14ac:dyDescent="0.25">
      <c r="A81" s="60" t="s">
        <v>326</v>
      </c>
      <c r="B81" s="6" t="s">
        <v>327</v>
      </c>
      <c r="C81" s="2" t="s">
        <v>1710</v>
      </c>
      <c r="D81" s="2" t="s">
        <v>328</v>
      </c>
      <c r="E81" s="2" t="s">
        <v>103</v>
      </c>
      <c r="F81" s="2" t="s">
        <v>64</v>
      </c>
      <c r="G81" s="2" t="s">
        <v>14</v>
      </c>
      <c r="H81" s="5">
        <v>45867</v>
      </c>
      <c r="I81" t="str">
        <f>IF(COUNTIFS(Creditos!B:B,A81,Creditos!R:R,"En mora")&gt;0,"Sí","No")</f>
        <v>No</v>
      </c>
      <c r="J81" t="str">
        <f>IF(COUNTIF(Creditos!B:B,A81)&gt;0,"Sí","No")</f>
        <v>No</v>
      </c>
      <c r="K81" t="str">
        <f>IF(COUNTIF(Depositos!B:B,A81)&gt;0,"Sí","No")</f>
        <v>Sí</v>
      </c>
    </row>
    <row r="82" spans="1:11" x14ac:dyDescent="0.25">
      <c r="A82" s="60" t="s">
        <v>329</v>
      </c>
      <c r="B82" s="6" t="s">
        <v>330</v>
      </c>
      <c r="C82" s="2" t="s">
        <v>1711</v>
      </c>
      <c r="D82" s="2" t="s">
        <v>331</v>
      </c>
      <c r="E82" s="2" t="s">
        <v>79</v>
      </c>
      <c r="F82" s="2" t="s">
        <v>84</v>
      </c>
      <c r="G82" s="2" t="s">
        <v>17</v>
      </c>
      <c r="H82" s="5">
        <v>44741</v>
      </c>
      <c r="I82" t="str">
        <f ca="1">IF(COUNTIFS(Creditos!B:B,A82,Creditos!R:R,"En mora")&gt;0,"Sí","No")</f>
        <v>No</v>
      </c>
      <c r="J82" t="str">
        <f>IF(COUNTIF(Creditos!B:B,A82)&gt;0,"Sí","No")</f>
        <v>Sí</v>
      </c>
      <c r="K82" t="str">
        <f>IF(COUNTIF(Depositos!B:B,A82)&gt;0,"Sí","No")</f>
        <v>Sí</v>
      </c>
    </row>
    <row r="83" spans="1:11" x14ac:dyDescent="0.25">
      <c r="A83" s="60" t="s">
        <v>332</v>
      </c>
      <c r="B83" s="6" t="s">
        <v>333</v>
      </c>
      <c r="C83" s="2" t="s">
        <v>1712</v>
      </c>
      <c r="D83" s="2" t="s">
        <v>334</v>
      </c>
      <c r="E83" s="2" t="s">
        <v>79</v>
      </c>
      <c r="F83" s="2" t="s">
        <v>64</v>
      </c>
      <c r="G83" s="2" t="s">
        <v>17</v>
      </c>
      <c r="H83" s="5">
        <v>44885</v>
      </c>
      <c r="I83" t="str">
        <f ca="1">IF(COUNTIFS(Creditos!B:B,A83,Creditos!R:R,"En mora")&gt;0,"Sí","No")</f>
        <v>No</v>
      </c>
      <c r="J83" t="str">
        <f>IF(COUNTIF(Creditos!B:B,A83)&gt;0,"Sí","No")</f>
        <v>Sí</v>
      </c>
      <c r="K83" t="str">
        <f>IF(COUNTIF(Depositos!B:B,A83)&gt;0,"Sí","No")</f>
        <v>Sí</v>
      </c>
    </row>
    <row r="84" spans="1:11" x14ac:dyDescent="0.25">
      <c r="A84" s="60" t="s">
        <v>335</v>
      </c>
      <c r="B84" s="6" t="s">
        <v>336</v>
      </c>
      <c r="C84" s="2" t="s">
        <v>1713</v>
      </c>
      <c r="D84" s="2" t="s">
        <v>337</v>
      </c>
      <c r="E84" s="2" t="s">
        <v>95</v>
      </c>
      <c r="F84" s="2" t="s">
        <v>64</v>
      </c>
      <c r="G84" s="2" t="s">
        <v>6</v>
      </c>
      <c r="H84" s="5">
        <v>45514</v>
      </c>
      <c r="I84" t="str">
        <f ca="1">IF(COUNTIFS(Creditos!B:B,A84,Creditos!R:R,"En mora")&gt;0,"Sí","No")</f>
        <v>Sí</v>
      </c>
      <c r="J84" t="str">
        <f>IF(COUNTIF(Creditos!B:B,A84)&gt;0,"Sí","No")</f>
        <v>Sí</v>
      </c>
      <c r="K84" t="str">
        <f>IF(COUNTIF(Depositos!B:B,A84)&gt;0,"Sí","No")</f>
        <v>Sí</v>
      </c>
    </row>
    <row r="85" spans="1:11" x14ac:dyDescent="0.25">
      <c r="A85" s="60" t="s">
        <v>338</v>
      </c>
      <c r="B85" s="6" t="s">
        <v>339</v>
      </c>
      <c r="C85" s="2" t="s">
        <v>1714</v>
      </c>
      <c r="D85" s="2" t="s">
        <v>340</v>
      </c>
      <c r="E85" s="2" t="s">
        <v>7</v>
      </c>
      <c r="F85" s="2" t="s">
        <v>84</v>
      </c>
      <c r="G85" s="2" t="s">
        <v>3</v>
      </c>
      <c r="H85" s="5">
        <v>44944</v>
      </c>
      <c r="I85" t="str">
        <f>IF(COUNTIFS(Creditos!B:B,A85,Creditos!R:R,"En mora")&gt;0,"Sí","No")</f>
        <v>No</v>
      </c>
      <c r="J85" t="str">
        <f>IF(COUNTIF(Creditos!B:B,A85)&gt;0,"Sí","No")</f>
        <v>No</v>
      </c>
      <c r="K85" t="str">
        <f>IF(COUNTIF(Depositos!B:B,A85)&gt;0,"Sí","No")</f>
        <v>No</v>
      </c>
    </row>
    <row r="86" spans="1:11" x14ac:dyDescent="0.25">
      <c r="A86" s="60" t="s">
        <v>341</v>
      </c>
      <c r="B86" s="6" t="s">
        <v>342</v>
      </c>
      <c r="C86" s="2" t="s">
        <v>1715</v>
      </c>
      <c r="D86" s="2" t="s">
        <v>343</v>
      </c>
      <c r="E86" s="2" t="s">
        <v>126</v>
      </c>
      <c r="F86" s="2" t="s">
        <v>84</v>
      </c>
      <c r="G86" s="2" t="s">
        <v>8</v>
      </c>
      <c r="H86" s="5">
        <v>44453</v>
      </c>
      <c r="I86" t="str">
        <f ca="1">IF(COUNTIFS(Creditos!B:B,A86,Creditos!R:R,"En mora")&gt;0,"Sí","No")</f>
        <v>No</v>
      </c>
      <c r="J86" t="str">
        <f>IF(COUNTIF(Creditos!B:B,A86)&gt;0,"Sí","No")</f>
        <v>Sí</v>
      </c>
      <c r="K86" t="str">
        <f>IF(COUNTIF(Depositos!B:B,A86)&gt;0,"Sí","No")</f>
        <v>No</v>
      </c>
    </row>
    <row r="87" spans="1:11" x14ac:dyDescent="0.25">
      <c r="A87" s="60" t="s">
        <v>344</v>
      </c>
      <c r="B87" s="6" t="s">
        <v>345</v>
      </c>
      <c r="C87" s="2" t="s">
        <v>1716</v>
      </c>
      <c r="D87" s="2" t="s">
        <v>346</v>
      </c>
      <c r="E87" s="2" t="s">
        <v>83</v>
      </c>
      <c r="F87" s="2" t="s">
        <v>64</v>
      </c>
      <c r="G87" s="2" t="s">
        <v>11</v>
      </c>
      <c r="H87" s="5">
        <v>46018</v>
      </c>
      <c r="I87" t="str">
        <f ca="1">IF(COUNTIFS(Creditos!B:B,A87,Creditos!R:R,"En mora")&gt;0,"Sí","No")</f>
        <v>No</v>
      </c>
      <c r="J87" t="str">
        <f>IF(COUNTIF(Creditos!B:B,A87)&gt;0,"Sí","No")</f>
        <v>Sí</v>
      </c>
      <c r="K87" t="str">
        <f>IF(COUNTIF(Depositos!B:B,A87)&gt;0,"Sí","No")</f>
        <v>Sí</v>
      </c>
    </row>
    <row r="88" spans="1:11" x14ac:dyDescent="0.25">
      <c r="A88" s="60" t="s">
        <v>347</v>
      </c>
      <c r="B88" s="6" t="s">
        <v>348</v>
      </c>
      <c r="C88" s="2" t="s">
        <v>1717</v>
      </c>
      <c r="D88" s="2" t="s">
        <v>349</v>
      </c>
      <c r="E88" s="2" t="s">
        <v>99</v>
      </c>
      <c r="F88" s="2" t="s">
        <v>64</v>
      </c>
      <c r="G88" s="2" t="s">
        <v>11</v>
      </c>
      <c r="H88" s="5">
        <v>45096</v>
      </c>
      <c r="I88" t="str">
        <f ca="1">IF(COUNTIFS(Creditos!B:B,A88,Creditos!R:R,"En mora")&gt;0,"Sí","No")</f>
        <v>No</v>
      </c>
      <c r="J88" t="str">
        <f>IF(COUNTIF(Creditos!B:B,A88)&gt;0,"Sí","No")</f>
        <v>Sí</v>
      </c>
      <c r="K88" t="str">
        <f>IF(COUNTIF(Depositos!B:B,A88)&gt;0,"Sí","No")</f>
        <v>Sí</v>
      </c>
    </row>
    <row r="89" spans="1:11" x14ac:dyDescent="0.25">
      <c r="A89" s="60" t="s">
        <v>350</v>
      </c>
      <c r="B89" s="6" t="s">
        <v>351</v>
      </c>
      <c r="C89" s="2" t="s">
        <v>1718</v>
      </c>
      <c r="D89" s="2" t="s">
        <v>352</v>
      </c>
      <c r="E89" s="2" t="s">
        <v>107</v>
      </c>
      <c r="F89" s="2" t="s">
        <v>64</v>
      </c>
      <c r="G89" s="2" t="s">
        <v>8</v>
      </c>
      <c r="H89" s="5">
        <v>44650</v>
      </c>
      <c r="I89" t="str">
        <f ca="1">IF(COUNTIFS(Creditos!B:B,A89,Creditos!R:R,"En mora")&gt;0,"Sí","No")</f>
        <v>Sí</v>
      </c>
      <c r="J89" t="str">
        <f>IF(COUNTIF(Creditos!B:B,A89)&gt;0,"Sí","No")</f>
        <v>Sí</v>
      </c>
      <c r="K89" t="str">
        <f>IF(COUNTIF(Depositos!B:B,A89)&gt;0,"Sí","No")</f>
        <v>Sí</v>
      </c>
    </row>
    <row r="90" spans="1:11" x14ac:dyDescent="0.25">
      <c r="A90" s="60" t="s">
        <v>353</v>
      </c>
      <c r="B90" s="6" t="s">
        <v>354</v>
      </c>
      <c r="C90" s="2" t="s">
        <v>1719</v>
      </c>
      <c r="D90" s="2" t="s">
        <v>355</v>
      </c>
      <c r="E90" s="2" t="s">
        <v>115</v>
      </c>
      <c r="F90" s="2" t="s">
        <v>64</v>
      </c>
      <c r="G90" s="2" t="s">
        <v>14</v>
      </c>
      <c r="H90" s="5">
        <v>45869</v>
      </c>
      <c r="I90" t="str">
        <f ca="1">IF(COUNTIFS(Creditos!B:B,A90,Creditos!R:R,"En mora")&gt;0,"Sí","No")</f>
        <v>No</v>
      </c>
      <c r="J90" t="str">
        <f>IF(COUNTIF(Creditos!B:B,A90)&gt;0,"Sí","No")</f>
        <v>Sí</v>
      </c>
      <c r="K90" t="str">
        <f>IF(COUNTIF(Depositos!B:B,A90)&gt;0,"Sí","No")</f>
        <v>Sí</v>
      </c>
    </row>
    <row r="91" spans="1:11" x14ac:dyDescent="0.25">
      <c r="A91" s="60" t="s">
        <v>356</v>
      </c>
      <c r="B91" s="6" t="s">
        <v>357</v>
      </c>
      <c r="C91" s="2" t="s">
        <v>1720</v>
      </c>
      <c r="D91" s="2" t="s">
        <v>358</v>
      </c>
      <c r="E91" s="2" t="s">
        <v>103</v>
      </c>
      <c r="F91" s="2" t="s">
        <v>64</v>
      </c>
      <c r="G91" s="2" t="s">
        <v>14</v>
      </c>
      <c r="H91" s="5">
        <v>45796</v>
      </c>
      <c r="I91" t="str">
        <f ca="1">IF(COUNTIFS(Creditos!B:B,A91,Creditos!R:R,"En mora")&gt;0,"Sí","No")</f>
        <v>No</v>
      </c>
      <c r="J91" t="str">
        <f>IF(COUNTIF(Creditos!B:B,A91)&gt;0,"Sí","No")</f>
        <v>Sí</v>
      </c>
      <c r="K91" t="str">
        <f>IF(COUNTIF(Depositos!B:B,A91)&gt;0,"Sí","No")</f>
        <v>Sí</v>
      </c>
    </row>
    <row r="92" spans="1:11" x14ac:dyDescent="0.25">
      <c r="A92" s="60" t="s">
        <v>359</v>
      </c>
      <c r="B92" s="6" t="s">
        <v>360</v>
      </c>
      <c r="C92" s="2" t="s">
        <v>1721</v>
      </c>
      <c r="D92" s="2" t="s">
        <v>361</v>
      </c>
      <c r="E92" s="2" t="s">
        <v>300</v>
      </c>
      <c r="F92" s="2" t="s">
        <v>64</v>
      </c>
      <c r="G92" s="2" t="s">
        <v>8</v>
      </c>
      <c r="H92" s="5">
        <v>45644</v>
      </c>
      <c r="I92" t="str">
        <f ca="1">IF(COUNTIFS(Creditos!B:B,A92,Creditos!R:R,"En mora")&gt;0,"Sí","No")</f>
        <v>No</v>
      </c>
      <c r="J92" t="str">
        <f>IF(COUNTIF(Creditos!B:B,A92)&gt;0,"Sí","No")</f>
        <v>Sí</v>
      </c>
      <c r="K92" t="str">
        <f>IF(COUNTIF(Depositos!B:B,A92)&gt;0,"Sí","No")</f>
        <v>No</v>
      </c>
    </row>
    <row r="93" spans="1:11" x14ac:dyDescent="0.25">
      <c r="A93" s="60" t="s">
        <v>362</v>
      </c>
      <c r="B93" s="6" t="s">
        <v>363</v>
      </c>
      <c r="C93" s="2" t="s">
        <v>1722</v>
      </c>
      <c r="D93" s="2" t="s">
        <v>364</v>
      </c>
      <c r="E93" s="2" t="s">
        <v>99</v>
      </c>
      <c r="F93" s="2" t="s">
        <v>64</v>
      </c>
      <c r="G93" s="2" t="s">
        <v>11</v>
      </c>
      <c r="H93" s="5">
        <v>45582</v>
      </c>
      <c r="I93" t="str">
        <f ca="1">IF(COUNTIFS(Creditos!B:B,A93,Creditos!R:R,"En mora")&gt;0,"Sí","No")</f>
        <v>No</v>
      </c>
      <c r="J93" t="str">
        <f>IF(COUNTIF(Creditos!B:B,A93)&gt;0,"Sí","No")</f>
        <v>Sí</v>
      </c>
      <c r="K93" t="str">
        <f>IF(COUNTIF(Depositos!B:B,A93)&gt;0,"Sí","No")</f>
        <v>Sí</v>
      </c>
    </row>
    <row r="94" spans="1:11" x14ac:dyDescent="0.25">
      <c r="A94" s="60" t="s">
        <v>365</v>
      </c>
      <c r="B94" s="6" t="s">
        <v>366</v>
      </c>
      <c r="C94" s="2" t="s">
        <v>1723</v>
      </c>
      <c r="D94" s="2" t="s">
        <v>367</v>
      </c>
      <c r="E94" s="2" t="s">
        <v>169</v>
      </c>
      <c r="F94" s="2" t="s">
        <v>64</v>
      </c>
      <c r="G94" s="2" t="s">
        <v>17</v>
      </c>
      <c r="H94" s="5">
        <v>44921</v>
      </c>
      <c r="I94" t="str">
        <f ca="1">IF(COUNTIFS(Creditos!B:B,A94,Creditos!R:R,"En mora")&gt;0,"Sí","No")</f>
        <v>No</v>
      </c>
      <c r="J94" t="str">
        <f>IF(COUNTIF(Creditos!B:B,A94)&gt;0,"Sí","No")</f>
        <v>Sí</v>
      </c>
      <c r="K94" t="str">
        <f>IF(COUNTIF(Depositos!B:B,A94)&gt;0,"Sí","No")</f>
        <v>Sí</v>
      </c>
    </row>
    <row r="95" spans="1:11" x14ac:dyDescent="0.25">
      <c r="A95" s="60" t="s">
        <v>368</v>
      </c>
      <c r="B95" s="6" t="s">
        <v>369</v>
      </c>
      <c r="C95" s="2" t="s">
        <v>1724</v>
      </c>
      <c r="D95" s="2" t="s">
        <v>370</v>
      </c>
      <c r="E95" s="2" t="s">
        <v>99</v>
      </c>
      <c r="F95" s="2" t="s">
        <v>64</v>
      </c>
      <c r="G95" s="2" t="s">
        <v>11</v>
      </c>
      <c r="H95" s="5">
        <v>44937</v>
      </c>
      <c r="I95" t="str">
        <f>IF(COUNTIFS(Creditos!B:B,A95,Creditos!R:R,"En mora")&gt;0,"Sí","No")</f>
        <v>No</v>
      </c>
      <c r="J95" t="str">
        <f>IF(COUNTIF(Creditos!B:B,A95)&gt;0,"Sí","No")</f>
        <v>No</v>
      </c>
      <c r="K95" t="str">
        <f>IF(COUNTIF(Depositos!B:B,A95)&gt;0,"Sí","No")</f>
        <v>Sí</v>
      </c>
    </row>
    <row r="96" spans="1:11" x14ac:dyDescent="0.25">
      <c r="A96" s="60" t="s">
        <v>371</v>
      </c>
      <c r="B96" s="6" t="s">
        <v>372</v>
      </c>
      <c r="C96" s="2" t="s">
        <v>1725</v>
      </c>
      <c r="D96" s="2" t="s">
        <v>373</v>
      </c>
      <c r="E96" s="2" t="s">
        <v>72</v>
      </c>
      <c r="F96" s="2" t="s">
        <v>64</v>
      </c>
      <c r="G96" s="2" t="s">
        <v>6</v>
      </c>
      <c r="H96" s="5">
        <v>46055</v>
      </c>
      <c r="I96" t="str">
        <f ca="1">IF(COUNTIFS(Creditos!B:B,A96,Creditos!R:R,"En mora")&gt;0,"Sí","No")</f>
        <v>No</v>
      </c>
      <c r="J96" t="str">
        <f>IF(COUNTIF(Creditos!B:B,A96)&gt;0,"Sí","No")</f>
        <v>Sí</v>
      </c>
      <c r="K96" t="str">
        <f>IF(COUNTIF(Depositos!B:B,A96)&gt;0,"Sí","No")</f>
        <v>Sí</v>
      </c>
    </row>
    <row r="97" spans="1:11" x14ac:dyDescent="0.25">
      <c r="A97" s="60" t="s">
        <v>374</v>
      </c>
      <c r="B97" s="6" t="s">
        <v>375</v>
      </c>
      <c r="C97" s="2" t="s">
        <v>1726</v>
      </c>
      <c r="D97" s="2" t="s">
        <v>376</v>
      </c>
      <c r="E97" s="2" t="s">
        <v>275</v>
      </c>
      <c r="F97" s="2" t="s">
        <v>64</v>
      </c>
      <c r="G97" s="2" t="s">
        <v>11</v>
      </c>
      <c r="H97" s="5">
        <v>44725</v>
      </c>
      <c r="I97" t="str">
        <f>IF(COUNTIFS(Creditos!B:B,A97,Creditos!R:R,"En mora")&gt;0,"Sí","No")</f>
        <v>No</v>
      </c>
      <c r="J97" t="str">
        <f>IF(COUNTIF(Creditos!B:B,A97)&gt;0,"Sí","No")</f>
        <v>No</v>
      </c>
      <c r="K97" t="str">
        <f>IF(COUNTIF(Depositos!B:B,A97)&gt;0,"Sí","No")</f>
        <v>No</v>
      </c>
    </row>
    <row r="98" spans="1:11" x14ac:dyDescent="0.25">
      <c r="A98" s="60" t="s">
        <v>377</v>
      </c>
      <c r="B98" s="6" t="s">
        <v>378</v>
      </c>
      <c r="C98" s="2" t="s">
        <v>1727</v>
      </c>
      <c r="D98" s="2" t="s">
        <v>379</v>
      </c>
      <c r="E98" s="2" t="s">
        <v>162</v>
      </c>
      <c r="F98" s="2" t="s">
        <v>84</v>
      </c>
      <c r="G98" s="2" t="s">
        <v>21</v>
      </c>
      <c r="H98" s="5">
        <v>44949</v>
      </c>
      <c r="I98" t="str">
        <f>IF(COUNTIFS(Creditos!B:B,A98,Creditos!R:R,"En mora")&gt;0,"Sí","No")</f>
        <v>Sí</v>
      </c>
      <c r="J98" t="str">
        <f>IF(COUNTIF(Creditos!B:B,A98)&gt;0,"Sí","No")</f>
        <v>Sí</v>
      </c>
      <c r="K98" t="str">
        <f>IF(COUNTIF(Depositos!B:B,A98)&gt;0,"Sí","No")</f>
        <v>Sí</v>
      </c>
    </row>
    <row r="99" spans="1:11" x14ac:dyDescent="0.25">
      <c r="A99" s="60" t="s">
        <v>380</v>
      </c>
      <c r="B99" s="6" t="s">
        <v>381</v>
      </c>
      <c r="C99" s="2" t="s">
        <v>1728</v>
      </c>
      <c r="D99" s="2" t="s">
        <v>382</v>
      </c>
      <c r="E99" s="2" t="s">
        <v>148</v>
      </c>
      <c r="F99" s="2" t="s">
        <v>84</v>
      </c>
      <c r="G99" s="2" t="s">
        <v>21</v>
      </c>
      <c r="H99" s="5">
        <v>45943</v>
      </c>
      <c r="I99" t="str">
        <f ca="1">IF(COUNTIFS(Creditos!B:B,A99,Creditos!R:R,"En mora")&gt;0,"Sí","No")</f>
        <v>No</v>
      </c>
      <c r="J99" t="str">
        <f>IF(COUNTIF(Creditos!B:B,A99)&gt;0,"Sí","No")</f>
        <v>Sí</v>
      </c>
      <c r="K99" t="str">
        <f>IF(COUNTIF(Depositos!B:B,A99)&gt;0,"Sí","No")</f>
        <v>Sí</v>
      </c>
    </row>
    <row r="100" spans="1:11" x14ac:dyDescent="0.25">
      <c r="A100" s="60" t="s">
        <v>383</v>
      </c>
      <c r="B100" s="6" t="s">
        <v>384</v>
      </c>
      <c r="C100" s="2" t="s">
        <v>1729</v>
      </c>
      <c r="D100" s="2" t="s">
        <v>385</v>
      </c>
      <c r="E100" s="2" t="s">
        <v>169</v>
      </c>
      <c r="F100" s="2" t="s">
        <v>64</v>
      </c>
      <c r="G100" s="2" t="s">
        <v>17</v>
      </c>
      <c r="H100" s="5">
        <v>46115</v>
      </c>
      <c r="I100" t="str">
        <f>IF(COUNTIFS(Creditos!B:B,A100,Creditos!R:R,"En mora")&gt;0,"Sí","No")</f>
        <v>No</v>
      </c>
      <c r="J100" t="str">
        <f>IF(COUNTIF(Creditos!B:B,A100)&gt;0,"Sí","No")</f>
        <v>No</v>
      </c>
      <c r="K100" t="str">
        <f>IF(COUNTIF(Depositos!B:B,A100)&gt;0,"Sí","No")</f>
        <v>No</v>
      </c>
    </row>
    <row r="101" spans="1:11" x14ac:dyDescent="0.25">
      <c r="A101" s="60" t="s">
        <v>386</v>
      </c>
      <c r="B101" s="6" t="s">
        <v>387</v>
      </c>
      <c r="C101" s="2" t="s">
        <v>1730</v>
      </c>
      <c r="D101" s="2" t="s">
        <v>388</v>
      </c>
      <c r="E101" s="2" t="s">
        <v>103</v>
      </c>
      <c r="F101" s="2" t="s">
        <v>64</v>
      </c>
      <c r="G101" s="2" t="s">
        <v>14</v>
      </c>
      <c r="H101" s="5">
        <v>45150</v>
      </c>
      <c r="I101" t="str">
        <f ca="1">IF(COUNTIFS(Creditos!B:B,A101,Creditos!R:R,"En mora")&gt;0,"Sí","No")</f>
        <v>No</v>
      </c>
      <c r="J101" t="str">
        <f>IF(COUNTIF(Creditos!B:B,A101)&gt;0,"Sí","No")</f>
        <v>Sí</v>
      </c>
      <c r="K101" t="str">
        <f>IF(COUNTIF(Depositos!B:B,A101)&gt;0,"Sí","No")</f>
        <v>Sí</v>
      </c>
    </row>
    <row r="102" spans="1:11" x14ac:dyDescent="0.25">
      <c r="A102" s="60" t="s">
        <v>389</v>
      </c>
      <c r="B102" s="6" t="s">
        <v>390</v>
      </c>
      <c r="C102" s="2" t="s">
        <v>1731</v>
      </c>
      <c r="D102" s="2" t="s">
        <v>391</v>
      </c>
      <c r="E102" s="2" t="s">
        <v>103</v>
      </c>
      <c r="F102" s="2" t="s">
        <v>84</v>
      </c>
      <c r="G102" s="2" t="s">
        <v>14</v>
      </c>
      <c r="H102" s="5">
        <v>45180</v>
      </c>
      <c r="I102" t="str">
        <f ca="1">IF(COUNTIFS(Creditos!B:B,A102,Creditos!R:R,"En mora")&gt;0,"Sí","No")</f>
        <v>No</v>
      </c>
      <c r="J102" t="str">
        <f>IF(COUNTIF(Creditos!B:B,A102)&gt;0,"Sí","No")</f>
        <v>Sí</v>
      </c>
      <c r="K102" t="str">
        <f>IF(COUNTIF(Depositos!B:B,A102)&gt;0,"Sí","No")</f>
        <v>Sí</v>
      </c>
    </row>
    <row r="103" spans="1:11" x14ac:dyDescent="0.25">
      <c r="A103" s="60" t="s">
        <v>392</v>
      </c>
      <c r="B103" s="6" t="s">
        <v>393</v>
      </c>
      <c r="C103" s="2" t="s">
        <v>1732</v>
      </c>
      <c r="D103" s="2" t="s">
        <v>394</v>
      </c>
      <c r="E103" s="2" t="s">
        <v>238</v>
      </c>
      <c r="F103" s="2" t="s">
        <v>64</v>
      </c>
      <c r="G103" s="2" t="s">
        <v>8</v>
      </c>
      <c r="H103" s="5">
        <v>44853</v>
      </c>
      <c r="I103" t="str">
        <f ca="1">IF(COUNTIFS(Creditos!B:B,A103,Creditos!R:R,"En mora")&gt;0,"Sí","No")</f>
        <v>No</v>
      </c>
      <c r="J103" t="str">
        <f>IF(COUNTIF(Creditos!B:B,A103)&gt;0,"Sí","No")</f>
        <v>Sí</v>
      </c>
      <c r="K103" t="str">
        <f>IF(COUNTIF(Depositos!B:B,A103)&gt;0,"Sí","No")</f>
        <v>Sí</v>
      </c>
    </row>
    <row r="104" spans="1:11" x14ac:dyDescent="0.25">
      <c r="A104" s="60" t="s">
        <v>395</v>
      </c>
      <c r="B104" s="6" t="s">
        <v>396</v>
      </c>
      <c r="C104" s="2" t="s">
        <v>1733</v>
      </c>
      <c r="D104" s="2" t="s">
        <v>397</v>
      </c>
      <c r="E104" s="2" t="s">
        <v>275</v>
      </c>
      <c r="F104" s="2" t="s">
        <v>64</v>
      </c>
      <c r="G104" s="2" t="s">
        <v>11</v>
      </c>
      <c r="H104" s="5">
        <v>45058</v>
      </c>
      <c r="I104" t="str">
        <f>IF(COUNTIFS(Creditos!B:B,A104,Creditos!R:R,"En mora")&gt;0,"Sí","No")</f>
        <v>No</v>
      </c>
      <c r="J104" t="str">
        <f>IF(COUNTIF(Creditos!B:B,A104)&gt;0,"Sí","No")</f>
        <v>No</v>
      </c>
      <c r="K104" t="str">
        <f>IF(COUNTIF(Depositos!B:B,A104)&gt;0,"Sí","No")</f>
        <v>Sí</v>
      </c>
    </row>
    <row r="105" spans="1:11" x14ac:dyDescent="0.25">
      <c r="A105" s="60" t="s">
        <v>398</v>
      </c>
      <c r="B105" s="6" t="s">
        <v>399</v>
      </c>
      <c r="C105" s="2" t="s">
        <v>1734</v>
      </c>
      <c r="D105" s="2" t="s">
        <v>400</v>
      </c>
      <c r="E105" s="2" t="s">
        <v>300</v>
      </c>
      <c r="F105" s="2" t="s">
        <v>84</v>
      </c>
      <c r="G105" s="2" t="s">
        <v>8</v>
      </c>
      <c r="H105" s="5">
        <v>45166</v>
      </c>
      <c r="I105" t="str">
        <f>IF(COUNTIFS(Creditos!B:B,A105,Creditos!R:R,"En mora")&gt;0,"Sí","No")</f>
        <v>Sí</v>
      </c>
      <c r="J105" t="str">
        <f>IF(COUNTIF(Creditos!B:B,A105)&gt;0,"Sí","No")</f>
        <v>Sí</v>
      </c>
      <c r="K105" t="str">
        <f>IF(COUNTIF(Depositos!B:B,A105)&gt;0,"Sí","No")</f>
        <v>No</v>
      </c>
    </row>
    <row r="106" spans="1:11" x14ac:dyDescent="0.25">
      <c r="A106" s="60" t="s">
        <v>401</v>
      </c>
      <c r="B106" s="6" t="s">
        <v>402</v>
      </c>
      <c r="C106" s="2" t="s">
        <v>1735</v>
      </c>
      <c r="D106" s="2" t="s">
        <v>403</v>
      </c>
      <c r="E106" s="2" t="s">
        <v>169</v>
      </c>
      <c r="F106" s="2" t="s">
        <v>64</v>
      </c>
      <c r="G106" s="2" t="s">
        <v>17</v>
      </c>
      <c r="H106" s="5">
        <v>44576</v>
      </c>
      <c r="I106" t="str">
        <f ca="1">IF(COUNTIFS(Creditos!B:B,A106,Creditos!R:R,"En mora")&gt;0,"Sí","No")</f>
        <v>No</v>
      </c>
      <c r="J106" t="str">
        <f>IF(COUNTIF(Creditos!B:B,A106)&gt;0,"Sí","No")</f>
        <v>Sí</v>
      </c>
      <c r="K106" t="str">
        <f>IF(COUNTIF(Depositos!B:B,A106)&gt;0,"Sí","No")</f>
        <v>Sí</v>
      </c>
    </row>
    <row r="107" spans="1:11" x14ac:dyDescent="0.25">
      <c r="A107" s="60" t="s">
        <v>404</v>
      </c>
      <c r="B107" s="6" t="s">
        <v>405</v>
      </c>
      <c r="C107" s="2" t="s">
        <v>1736</v>
      </c>
      <c r="D107" s="2" t="s">
        <v>406</v>
      </c>
      <c r="E107" s="2" t="s">
        <v>148</v>
      </c>
      <c r="F107" s="2" t="s">
        <v>84</v>
      </c>
      <c r="G107" s="2" t="s">
        <v>21</v>
      </c>
      <c r="H107" s="5">
        <v>45467</v>
      </c>
      <c r="I107" t="str">
        <f ca="1">IF(COUNTIFS(Creditos!B:B,A107,Creditos!R:R,"En mora")&gt;0,"Sí","No")</f>
        <v>No</v>
      </c>
      <c r="J107" t="str">
        <f>IF(COUNTIF(Creditos!B:B,A107)&gt;0,"Sí","No")</f>
        <v>Sí</v>
      </c>
      <c r="K107" t="str">
        <f>IF(COUNTIF(Depositos!B:B,A107)&gt;0,"Sí","No")</f>
        <v>No</v>
      </c>
    </row>
    <row r="108" spans="1:11" x14ac:dyDescent="0.25">
      <c r="A108" s="60" t="s">
        <v>407</v>
      </c>
      <c r="B108" s="6" t="s">
        <v>408</v>
      </c>
      <c r="C108" s="2" t="s">
        <v>1737</v>
      </c>
      <c r="D108" s="2" t="s">
        <v>409</v>
      </c>
      <c r="E108" s="2" t="s">
        <v>162</v>
      </c>
      <c r="F108" s="2" t="s">
        <v>64</v>
      </c>
      <c r="G108" s="2" t="s">
        <v>21</v>
      </c>
      <c r="H108" s="5">
        <v>45678</v>
      </c>
      <c r="I108" t="str">
        <f ca="1">IF(COUNTIFS(Creditos!B:B,A108,Creditos!R:R,"En mora")&gt;0,"Sí","No")</f>
        <v>No</v>
      </c>
      <c r="J108" t="str">
        <f>IF(COUNTIF(Creditos!B:B,A108)&gt;0,"Sí","No")</f>
        <v>Sí</v>
      </c>
      <c r="K108" t="str">
        <f>IF(COUNTIF(Depositos!B:B,A108)&gt;0,"Sí","No")</f>
        <v>Sí</v>
      </c>
    </row>
    <row r="109" spans="1:11" x14ac:dyDescent="0.25">
      <c r="A109" s="60" t="s">
        <v>410</v>
      </c>
      <c r="B109" s="6" t="s">
        <v>411</v>
      </c>
      <c r="C109" s="2" t="s">
        <v>1738</v>
      </c>
      <c r="D109" s="2" t="s">
        <v>412</v>
      </c>
      <c r="E109" s="2" t="s">
        <v>136</v>
      </c>
      <c r="F109" s="2" t="s">
        <v>64</v>
      </c>
      <c r="G109" s="2" t="s">
        <v>3</v>
      </c>
      <c r="H109" s="5">
        <v>45073</v>
      </c>
      <c r="I109" t="str">
        <f ca="1">IF(COUNTIFS(Creditos!B:B,A109,Creditos!R:R,"En mora")&gt;0,"Sí","No")</f>
        <v>No</v>
      </c>
      <c r="J109" t="str">
        <f>IF(COUNTIF(Creditos!B:B,A109)&gt;0,"Sí","No")</f>
        <v>Sí</v>
      </c>
      <c r="K109" t="str">
        <f>IF(COUNTIF(Depositos!B:B,A109)&gt;0,"Sí","No")</f>
        <v>No</v>
      </c>
    </row>
    <row r="110" spans="1:11" x14ac:dyDescent="0.25">
      <c r="A110" s="60" t="s">
        <v>413</v>
      </c>
      <c r="B110" s="6" t="s">
        <v>414</v>
      </c>
      <c r="C110" s="2" t="s">
        <v>1739</v>
      </c>
      <c r="D110" s="2" t="s">
        <v>415</v>
      </c>
      <c r="E110" s="2" t="s">
        <v>169</v>
      </c>
      <c r="F110" s="2" t="s">
        <v>84</v>
      </c>
      <c r="G110" s="2" t="s">
        <v>17</v>
      </c>
      <c r="H110" s="5">
        <v>45888</v>
      </c>
      <c r="I110" t="str">
        <f ca="1">IF(COUNTIFS(Creditos!B:B,A110,Creditos!R:R,"En mora")&gt;0,"Sí","No")</f>
        <v>Sí</v>
      </c>
      <c r="J110" t="str">
        <f>IF(COUNTIF(Creditos!B:B,A110)&gt;0,"Sí","No")</f>
        <v>Sí</v>
      </c>
      <c r="K110" t="str">
        <f>IF(COUNTIF(Depositos!B:B,A110)&gt;0,"Sí","No")</f>
        <v>Sí</v>
      </c>
    </row>
    <row r="111" spans="1:11" x14ac:dyDescent="0.25">
      <c r="A111" s="60" t="s">
        <v>416</v>
      </c>
      <c r="B111" s="6" t="s">
        <v>417</v>
      </c>
      <c r="C111" s="2" t="s">
        <v>1740</v>
      </c>
      <c r="D111" s="2" t="s">
        <v>418</v>
      </c>
      <c r="E111" s="2" t="s">
        <v>126</v>
      </c>
      <c r="F111" s="2" t="s">
        <v>84</v>
      </c>
      <c r="G111" s="2" t="s">
        <v>8</v>
      </c>
      <c r="H111" s="5">
        <v>46087</v>
      </c>
      <c r="I111" t="str">
        <f ca="1">IF(COUNTIFS(Creditos!B:B,A111,Creditos!R:R,"En mora")&gt;0,"Sí","No")</f>
        <v>No</v>
      </c>
      <c r="J111" t="str">
        <f>IF(COUNTIF(Creditos!B:B,A111)&gt;0,"Sí","No")</f>
        <v>Sí</v>
      </c>
      <c r="K111" t="str">
        <f>IF(COUNTIF(Depositos!B:B,A111)&gt;0,"Sí","No")</f>
        <v>No</v>
      </c>
    </row>
    <row r="112" spans="1:11" x14ac:dyDescent="0.25">
      <c r="A112" s="60" t="s">
        <v>419</v>
      </c>
      <c r="B112" s="6" t="s">
        <v>420</v>
      </c>
      <c r="C112" s="2" t="s">
        <v>1741</v>
      </c>
      <c r="D112" s="2" t="s">
        <v>421</v>
      </c>
      <c r="E112" s="2" t="s">
        <v>422</v>
      </c>
      <c r="F112" s="2" t="s">
        <v>64</v>
      </c>
      <c r="G112" s="2" t="s">
        <v>8</v>
      </c>
      <c r="H112" s="5">
        <v>45092</v>
      </c>
      <c r="I112" t="str">
        <f ca="1">IF(COUNTIFS(Creditos!B:B,A112,Creditos!R:R,"En mora")&gt;0,"Sí","No")</f>
        <v>No</v>
      </c>
      <c r="J112" t="str">
        <f>IF(COUNTIF(Creditos!B:B,A112)&gt;0,"Sí","No")</f>
        <v>Sí</v>
      </c>
      <c r="K112" t="str">
        <f>IF(COUNTIF(Depositos!B:B,A112)&gt;0,"Sí","No")</f>
        <v>Sí</v>
      </c>
    </row>
    <row r="113" spans="1:11" x14ac:dyDescent="0.25">
      <c r="A113" s="60" t="s">
        <v>423</v>
      </c>
      <c r="B113" s="6" t="s">
        <v>424</v>
      </c>
      <c r="C113" s="2" t="s">
        <v>1742</v>
      </c>
      <c r="D113" s="2" t="s">
        <v>425</v>
      </c>
      <c r="E113" s="2" t="s">
        <v>7</v>
      </c>
      <c r="F113" s="2" t="s">
        <v>64</v>
      </c>
      <c r="G113" s="2" t="s">
        <v>6</v>
      </c>
      <c r="H113" s="5">
        <v>45499</v>
      </c>
      <c r="I113" t="str">
        <f>IF(COUNTIFS(Creditos!B:B,A113,Creditos!R:R,"En mora")&gt;0,"Sí","No")</f>
        <v>No</v>
      </c>
      <c r="J113" t="str">
        <f>IF(COUNTIF(Creditos!B:B,A113)&gt;0,"Sí","No")</f>
        <v>No</v>
      </c>
      <c r="K113" t="str">
        <f>IF(COUNTIF(Depositos!B:B,A113)&gt;0,"Sí","No")</f>
        <v>Sí</v>
      </c>
    </row>
    <row r="114" spans="1:11" x14ac:dyDescent="0.25">
      <c r="A114" s="60" t="s">
        <v>426</v>
      </c>
      <c r="B114" s="6" t="s">
        <v>427</v>
      </c>
      <c r="C114" s="2" t="s">
        <v>1743</v>
      </c>
      <c r="D114" s="2" t="s">
        <v>428</v>
      </c>
      <c r="E114" s="2" t="s">
        <v>115</v>
      </c>
      <c r="F114" s="2" t="s">
        <v>64</v>
      </c>
      <c r="G114" s="2" t="s">
        <v>14</v>
      </c>
      <c r="H114" s="5">
        <v>45122</v>
      </c>
      <c r="I114" t="str">
        <f ca="1">IF(COUNTIFS(Creditos!B:B,A114,Creditos!R:R,"En mora")&gt;0,"Sí","No")</f>
        <v>No</v>
      </c>
      <c r="J114" t="str">
        <f>IF(COUNTIF(Creditos!B:B,A114)&gt;0,"Sí","No")</f>
        <v>Sí</v>
      </c>
      <c r="K114" t="str">
        <f>IF(COUNTIF(Depositos!B:B,A114)&gt;0,"Sí","No")</f>
        <v>Sí</v>
      </c>
    </row>
    <row r="115" spans="1:11" x14ac:dyDescent="0.25">
      <c r="A115" s="60" t="s">
        <v>429</v>
      </c>
      <c r="B115" s="6" t="s">
        <v>430</v>
      </c>
      <c r="C115" s="2" t="s">
        <v>1744</v>
      </c>
      <c r="D115" s="2" t="s">
        <v>431</v>
      </c>
      <c r="E115" s="2" t="s">
        <v>119</v>
      </c>
      <c r="F115" s="2" t="s">
        <v>64</v>
      </c>
      <c r="G115" s="2" t="s">
        <v>17</v>
      </c>
      <c r="H115" s="5">
        <v>44456</v>
      </c>
      <c r="I115" t="str">
        <f ca="1">IF(COUNTIFS(Creditos!B:B,A115,Creditos!R:R,"En mora")&gt;0,"Sí","No")</f>
        <v>No</v>
      </c>
      <c r="J115" t="str">
        <f>IF(COUNTIF(Creditos!B:B,A115)&gt;0,"Sí","No")</f>
        <v>Sí</v>
      </c>
      <c r="K115" t="str">
        <f>IF(COUNTIF(Depositos!B:B,A115)&gt;0,"Sí","No")</f>
        <v>Sí</v>
      </c>
    </row>
    <row r="116" spans="1:11" x14ac:dyDescent="0.25">
      <c r="A116" s="60" t="s">
        <v>432</v>
      </c>
      <c r="B116" s="6" t="s">
        <v>433</v>
      </c>
      <c r="C116" s="2" t="s">
        <v>1745</v>
      </c>
      <c r="D116" s="2" t="s">
        <v>434</v>
      </c>
      <c r="E116" s="2" t="s">
        <v>136</v>
      </c>
      <c r="F116" s="2" t="s">
        <v>64</v>
      </c>
      <c r="G116" s="2" t="s">
        <v>6</v>
      </c>
      <c r="H116" s="5">
        <v>45786</v>
      </c>
      <c r="I116" t="str">
        <f>IF(COUNTIFS(Creditos!B:B,A116,Creditos!R:R,"En mora")&gt;0,"Sí","No")</f>
        <v>No</v>
      </c>
      <c r="J116" t="str">
        <f>IF(COUNTIF(Creditos!B:B,A116)&gt;0,"Sí","No")</f>
        <v>No</v>
      </c>
      <c r="K116" t="str">
        <f>IF(COUNTIF(Depositos!B:B,A116)&gt;0,"Sí","No")</f>
        <v>No</v>
      </c>
    </row>
    <row r="117" spans="1:11" x14ac:dyDescent="0.25">
      <c r="A117" s="60" t="s">
        <v>435</v>
      </c>
      <c r="B117" s="6" t="s">
        <v>436</v>
      </c>
      <c r="C117" s="2" t="s">
        <v>1746</v>
      </c>
      <c r="D117" s="2" t="s">
        <v>437</v>
      </c>
      <c r="E117" s="2" t="s">
        <v>95</v>
      </c>
      <c r="F117" s="2" t="s">
        <v>64</v>
      </c>
      <c r="G117" s="2" t="s">
        <v>3</v>
      </c>
      <c r="H117" s="5">
        <v>46108</v>
      </c>
      <c r="I117" t="str">
        <f ca="1">IF(COUNTIFS(Creditos!B:B,A117,Creditos!R:R,"En mora")&gt;0,"Sí","No")</f>
        <v>No</v>
      </c>
      <c r="J117" t="str">
        <f>IF(COUNTIF(Creditos!B:B,A117)&gt;0,"Sí","No")</f>
        <v>Sí</v>
      </c>
      <c r="K117" t="str">
        <f>IF(COUNTIF(Depositos!B:B,A117)&gt;0,"Sí","No")</f>
        <v>Sí</v>
      </c>
    </row>
    <row r="118" spans="1:11" x14ac:dyDescent="0.25">
      <c r="A118" s="60" t="s">
        <v>438</v>
      </c>
      <c r="B118" s="6" t="s">
        <v>439</v>
      </c>
      <c r="C118" s="2" t="s">
        <v>1747</v>
      </c>
      <c r="D118" s="2" t="s">
        <v>440</v>
      </c>
      <c r="E118" s="2" t="s">
        <v>72</v>
      </c>
      <c r="F118" s="2" t="s">
        <v>64</v>
      </c>
      <c r="G118" s="2" t="s">
        <v>6</v>
      </c>
      <c r="H118" s="5">
        <v>45625</v>
      </c>
      <c r="I118" t="str">
        <f>IF(COUNTIFS(Creditos!B:B,A118,Creditos!R:R,"En mora")&gt;0,"Sí","No")</f>
        <v>Sí</v>
      </c>
      <c r="J118" t="str">
        <f>IF(COUNTIF(Creditos!B:B,A118)&gt;0,"Sí","No")</f>
        <v>Sí</v>
      </c>
      <c r="K118" t="str">
        <f>IF(COUNTIF(Depositos!B:B,A118)&gt;0,"Sí","No")</f>
        <v>No</v>
      </c>
    </row>
    <row r="119" spans="1:11" x14ac:dyDescent="0.25">
      <c r="A119" s="60" t="s">
        <v>441</v>
      </c>
      <c r="B119" s="6" t="s">
        <v>442</v>
      </c>
      <c r="C119" s="2" t="s">
        <v>1748</v>
      </c>
      <c r="D119" s="2" t="s">
        <v>443</v>
      </c>
      <c r="E119" s="2" t="s">
        <v>422</v>
      </c>
      <c r="F119" s="2" t="s">
        <v>64</v>
      </c>
      <c r="G119" s="2" t="s">
        <v>8</v>
      </c>
      <c r="H119" s="5">
        <v>46158</v>
      </c>
      <c r="I119" t="str">
        <f ca="1">IF(COUNTIFS(Creditos!B:B,A119,Creditos!R:R,"En mora")&gt;0,"Sí","No")</f>
        <v>Sí</v>
      </c>
      <c r="J119" t="str">
        <f>IF(COUNTIF(Creditos!B:B,A119)&gt;0,"Sí","No")</f>
        <v>Sí</v>
      </c>
      <c r="K119" t="str">
        <f>IF(COUNTIF(Depositos!B:B,A119)&gt;0,"Sí","No")</f>
        <v>Sí</v>
      </c>
    </row>
    <row r="120" spans="1:11" x14ac:dyDescent="0.25">
      <c r="A120" s="60" t="s">
        <v>444</v>
      </c>
      <c r="B120" s="6" t="s">
        <v>445</v>
      </c>
      <c r="C120" s="2" t="s">
        <v>1749</v>
      </c>
      <c r="D120" s="2" t="s">
        <v>446</v>
      </c>
      <c r="E120" s="2" t="s">
        <v>63</v>
      </c>
      <c r="F120" s="2" t="s">
        <v>64</v>
      </c>
      <c r="G120" s="2" t="s">
        <v>19</v>
      </c>
      <c r="H120" s="5">
        <v>45570</v>
      </c>
      <c r="I120" t="str">
        <f>IF(COUNTIFS(Creditos!B:B,A120,Creditos!R:R,"En mora")&gt;0,"Sí","No")</f>
        <v>No</v>
      </c>
      <c r="J120" t="str">
        <f>IF(COUNTIF(Creditos!B:B,A120)&gt;0,"Sí","No")</f>
        <v>No</v>
      </c>
      <c r="K120" t="str">
        <f>IF(COUNTIF(Depositos!B:B,A120)&gt;0,"Sí","No")</f>
        <v>Sí</v>
      </c>
    </row>
    <row r="121" spans="1:11" x14ac:dyDescent="0.25">
      <c r="A121" s="60" t="s">
        <v>447</v>
      </c>
      <c r="B121" s="6" t="s">
        <v>448</v>
      </c>
      <c r="C121" s="2" t="s">
        <v>1750</v>
      </c>
      <c r="D121" s="2" t="s">
        <v>449</v>
      </c>
      <c r="E121" s="2" t="s">
        <v>162</v>
      </c>
      <c r="F121" s="2" t="s">
        <v>84</v>
      </c>
      <c r="G121" s="2" t="s">
        <v>21</v>
      </c>
      <c r="H121" s="5">
        <v>46002</v>
      </c>
      <c r="I121" t="str">
        <f ca="1">IF(COUNTIFS(Creditos!B:B,A121,Creditos!R:R,"En mora")&gt;0,"Sí","No")</f>
        <v>No</v>
      </c>
      <c r="J121" t="str">
        <f>IF(COUNTIF(Creditos!B:B,A121)&gt;0,"Sí","No")</f>
        <v>Sí</v>
      </c>
      <c r="K121" t="str">
        <f>IF(COUNTIF(Depositos!B:B,A121)&gt;0,"Sí","No")</f>
        <v>Sí</v>
      </c>
    </row>
    <row r="122" spans="1:11" x14ac:dyDescent="0.25">
      <c r="A122" s="60" t="s">
        <v>450</v>
      </c>
      <c r="B122" s="6" t="s">
        <v>451</v>
      </c>
      <c r="C122" s="2" t="s">
        <v>1751</v>
      </c>
      <c r="D122" s="2" t="s">
        <v>452</v>
      </c>
      <c r="E122" s="2" t="s">
        <v>313</v>
      </c>
      <c r="F122" s="2" t="s">
        <v>64</v>
      </c>
      <c r="G122" s="2" t="s">
        <v>17</v>
      </c>
      <c r="H122" s="5">
        <v>45399</v>
      </c>
      <c r="I122" t="str">
        <f ca="1">IF(COUNTIFS(Creditos!B:B,A122,Creditos!R:R,"En mora")&gt;0,"Sí","No")</f>
        <v>No</v>
      </c>
      <c r="J122" t="str">
        <f>IF(COUNTIF(Creditos!B:B,A122)&gt;0,"Sí","No")</f>
        <v>Sí</v>
      </c>
      <c r="K122" t="str">
        <f>IF(COUNTIF(Depositos!B:B,A122)&gt;0,"Sí","No")</f>
        <v>No</v>
      </c>
    </row>
    <row r="123" spans="1:11" x14ac:dyDescent="0.25">
      <c r="A123" s="60" t="s">
        <v>453</v>
      </c>
      <c r="B123" s="6" t="s">
        <v>454</v>
      </c>
      <c r="C123" s="2" t="s">
        <v>1752</v>
      </c>
      <c r="D123" s="2" t="s">
        <v>455</v>
      </c>
      <c r="E123" s="2" t="s">
        <v>144</v>
      </c>
      <c r="F123" s="2" t="s">
        <v>84</v>
      </c>
      <c r="G123" s="2" t="s">
        <v>21</v>
      </c>
      <c r="H123" s="5">
        <v>45710</v>
      </c>
      <c r="I123" t="str">
        <f>IF(COUNTIFS(Creditos!B:B,A123,Creditos!R:R,"En mora")&gt;0,"Sí","No")</f>
        <v>No</v>
      </c>
      <c r="J123" t="str">
        <f>IF(COUNTIF(Creditos!B:B,A123)&gt;0,"Sí","No")</f>
        <v>No</v>
      </c>
      <c r="K123" t="str">
        <f>IF(COUNTIF(Depositos!B:B,A123)&gt;0,"Sí","No")</f>
        <v>Sí</v>
      </c>
    </row>
    <row r="124" spans="1:11" x14ac:dyDescent="0.25">
      <c r="A124" s="60" t="s">
        <v>456</v>
      </c>
      <c r="B124" s="6" t="s">
        <v>457</v>
      </c>
      <c r="C124" s="2" t="s">
        <v>1753</v>
      </c>
      <c r="D124" s="2" t="s">
        <v>458</v>
      </c>
      <c r="E124" s="2" t="s">
        <v>179</v>
      </c>
      <c r="F124" s="2" t="s">
        <v>64</v>
      </c>
      <c r="G124" s="2" t="s">
        <v>3</v>
      </c>
      <c r="H124" s="5">
        <v>45009</v>
      </c>
      <c r="I124" t="str">
        <f ca="1">IF(COUNTIFS(Creditos!B:B,A124,Creditos!R:R,"En mora")&gt;0,"Sí","No")</f>
        <v>No</v>
      </c>
      <c r="J124" t="str">
        <f>IF(COUNTIF(Creditos!B:B,A124)&gt;0,"Sí","No")</f>
        <v>Sí</v>
      </c>
      <c r="K124" t="str">
        <f>IF(COUNTIF(Depositos!B:B,A124)&gt;0,"Sí","No")</f>
        <v>Sí</v>
      </c>
    </row>
    <row r="125" spans="1:11" x14ac:dyDescent="0.25">
      <c r="A125" s="60" t="s">
        <v>459</v>
      </c>
      <c r="B125" s="6" t="s">
        <v>460</v>
      </c>
      <c r="C125" s="2" t="s">
        <v>1754</v>
      </c>
      <c r="D125" s="2" t="s">
        <v>461</v>
      </c>
      <c r="E125" s="2" t="s">
        <v>225</v>
      </c>
      <c r="F125" s="2" t="s">
        <v>84</v>
      </c>
      <c r="G125" s="2" t="s">
        <v>3</v>
      </c>
      <c r="H125" s="5">
        <v>45588</v>
      </c>
      <c r="I125" t="str">
        <f>IF(COUNTIFS(Creditos!B:B,A125,Creditos!R:R,"En mora")&gt;0,"Sí","No")</f>
        <v>No</v>
      </c>
      <c r="J125" t="str">
        <f>IF(COUNTIF(Creditos!B:B,A125)&gt;0,"Sí","No")</f>
        <v>No</v>
      </c>
      <c r="K125" t="str">
        <f>IF(COUNTIF(Depositos!B:B,A125)&gt;0,"Sí","No")</f>
        <v>Sí</v>
      </c>
    </row>
    <row r="126" spans="1:11" x14ac:dyDescent="0.25">
      <c r="A126" s="60" t="s">
        <v>462</v>
      </c>
      <c r="B126" s="6" t="s">
        <v>463</v>
      </c>
      <c r="C126" s="2" t="s">
        <v>1755</v>
      </c>
      <c r="D126" s="2" t="s">
        <v>464</v>
      </c>
      <c r="E126" s="2" t="s">
        <v>107</v>
      </c>
      <c r="F126" s="2" t="s">
        <v>64</v>
      </c>
      <c r="G126" s="2" t="s">
        <v>8</v>
      </c>
      <c r="H126" s="5">
        <v>45223</v>
      </c>
      <c r="I126" t="str">
        <f ca="1">IF(COUNTIFS(Creditos!B:B,A126,Creditos!R:R,"En mora")&gt;0,"Sí","No")</f>
        <v>No</v>
      </c>
      <c r="J126" t="str">
        <f>IF(COUNTIF(Creditos!B:B,A126)&gt;0,"Sí","No")</f>
        <v>Sí</v>
      </c>
      <c r="K126" t="str">
        <f>IF(COUNTIF(Depositos!B:B,A126)&gt;0,"Sí","No")</f>
        <v>Sí</v>
      </c>
    </row>
    <row r="127" spans="1:11" x14ac:dyDescent="0.25">
      <c r="A127" s="60" t="s">
        <v>465</v>
      </c>
      <c r="B127" s="6" t="s">
        <v>466</v>
      </c>
      <c r="C127" s="2" t="s">
        <v>1756</v>
      </c>
      <c r="D127" s="2" t="s">
        <v>467</v>
      </c>
      <c r="E127" s="2" t="s">
        <v>275</v>
      </c>
      <c r="F127" s="2" t="s">
        <v>84</v>
      </c>
      <c r="G127" s="2" t="s">
        <v>11</v>
      </c>
      <c r="H127" s="5">
        <v>46191</v>
      </c>
      <c r="I127" t="str">
        <f ca="1">IF(COUNTIFS(Creditos!B:B,A127,Creditos!R:R,"En mora")&gt;0,"Sí","No")</f>
        <v>No</v>
      </c>
      <c r="J127" t="str">
        <f>IF(COUNTIF(Creditos!B:B,A127)&gt;0,"Sí","No")</f>
        <v>Sí</v>
      </c>
      <c r="K127" t="str">
        <f>IF(COUNTIF(Depositos!B:B,A127)&gt;0,"Sí","No")</f>
        <v>Sí</v>
      </c>
    </row>
    <row r="128" spans="1:11" x14ac:dyDescent="0.25">
      <c r="A128" s="60" t="s">
        <v>468</v>
      </c>
      <c r="B128" s="6" t="s">
        <v>469</v>
      </c>
      <c r="C128" s="2" t="s">
        <v>1757</v>
      </c>
      <c r="D128" s="2" t="s">
        <v>470</v>
      </c>
      <c r="E128" s="2" t="s">
        <v>119</v>
      </c>
      <c r="F128" s="2" t="s">
        <v>64</v>
      </c>
      <c r="G128" s="2" t="s">
        <v>17</v>
      </c>
      <c r="H128" s="5">
        <v>45678</v>
      </c>
      <c r="I128" t="str">
        <f>IF(COUNTIFS(Creditos!B:B,A128,Creditos!R:R,"En mora")&gt;0,"Sí","No")</f>
        <v>Sí</v>
      </c>
      <c r="J128" t="str">
        <f>IF(COUNTIF(Creditos!B:B,A128)&gt;0,"Sí","No")</f>
        <v>Sí</v>
      </c>
      <c r="K128" t="str">
        <f>IF(COUNTIF(Depositos!B:B,A128)&gt;0,"Sí","No")</f>
        <v>Sí</v>
      </c>
    </row>
    <row r="129" spans="1:11" x14ac:dyDescent="0.25">
      <c r="A129" s="60" t="s">
        <v>471</v>
      </c>
      <c r="B129" s="6" t="s">
        <v>472</v>
      </c>
      <c r="C129" s="2" t="s">
        <v>1758</v>
      </c>
      <c r="D129" s="2" t="s">
        <v>473</v>
      </c>
      <c r="E129" s="2" t="s">
        <v>300</v>
      </c>
      <c r="F129" s="2" t="s">
        <v>64</v>
      </c>
      <c r="G129" s="2" t="s">
        <v>8</v>
      </c>
      <c r="H129" s="5">
        <v>44911</v>
      </c>
      <c r="I129" t="str">
        <f ca="1">IF(COUNTIFS(Creditos!B:B,A129,Creditos!R:R,"En mora")&gt;0,"Sí","No")</f>
        <v>Sí</v>
      </c>
      <c r="J129" t="str">
        <f>IF(COUNTIF(Creditos!B:B,A129)&gt;0,"Sí","No")</f>
        <v>Sí</v>
      </c>
      <c r="K129" t="str">
        <f>IF(COUNTIF(Depositos!B:B,A129)&gt;0,"Sí","No")</f>
        <v>Sí</v>
      </c>
    </row>
    <row r="130" spans="1:11" x14ac:dyDescent="0.25">
      <c r="A130" s="60" t="s">
        <v>474</v>
      </c>
      <c r="B130" s="6" t="s">
        <v>475</v>
      </c>
      <c r="C130" s="2" t="s">
        <v>1759</v>
      </c>
      <c r="D130" s="2" t="s">
        <v>476</v>
      </c>
      <c r="E130" s="2" t="s">
        <v>111</v>
      </c>
      <c r="F130" s="2" t="s">
        <v>84</v>
      </c>
      <c r="G130" s="2" t="s">
        <v>19</v>
      </c>
      <c r="H130" s="5">
        <v>45866</v>
      </c>
      <c r="I130" t="str">
        <f ca="1">IF(COUNTIFS(Creditos!B:B,A130,Creditos!R:R,"En mora")&gt;0,"Sí","No")</f>
        <v>No</v>
      </c>
      <c r="J130" t="str">
        <f>IF(COUNTIF(Creditos!B:B,A130)&gt;0,"Sí","No")</f>
        <v>Sí</v>
      </c>
      <c r="K130" t="str">
        <f>IF(COUNTIF(Depositos!B:B,A130)&gt;0,"Sí","No")</f>
        <v>No</v>
      </c>
    </row>
    <row r="131" spans="1:11" x14ac:dyDescent="0.25">
      <c r="A131" s="60" t="s">
        <v>477</v>
      </c>
      <c r="B131" s="6" t="s">
        <v>478</v>
      </c>
      <c r="C131" s="2" t="s">
        <v>1760</v>
      </c>
      <c r="D131" s="2" t="s">
        <v>479</v>
      </c>
      <c r="E131" s="2" t="s">
        <v>99</v>
      </c>
      <c r="F131" s="2" t="s">
        <v>84</v>
      </c>
      <c r="G131" s="2" t="s">
        <v>11</v>
      </c>
      <c r="H131" s="5">
        <v>45275</v>
      </c>
      <c r="I131" t="str">
        <f>IF(COUNTIFS(Creditos!B:B,A131,Creditos!R:R,"En mora")&gt;0,"Sí","No")</f>
        <v>Sí</v>
      </c>
      <c r="J131" t="str">
        <f>IF(COUNTIF(Creditos!B:B,A131)&gt;0,"Sí","No")</f>
        <v>Sí</v>
      </c>
      <c r="K131" t="str">
        <f>IF(COUNTIF(Depositos!B:B,A131)&gt;0,"Sí","No")</f>
        <v>Sí</v>
      </c>
    </row>
    <row r="132" spans="1:11" x14ac:dyDescent="0.25">
      <c r="A132" s="60" t="s">
        <v>480</v>
      </c>
      <c r="B132" s="6" t="s">
        <v>481</v>
      </c>
      <c r="C132" s="2" t="s">
        <v>1761</v>
      </c>
      <c r="D132" s="2" t="s">
        <v>482</v>
      </c>
      <c r="E132" s="2" t="s">
        <v>79</v>
      </c>
      <c r="F132" s="2" t="s">
        <v>64</v>
      </c>
      <c r="G132" s="2" t="s">
        <v>17</v>
      </c>
      <c r="H132" s="5">
        <v>45818</v>
      </c>
      <c r="I132" t="str">
        <f ca="1">IF(COUNTIFS(Creditos!B:B,A132,Creditos!R:R,"En mora")&gt;0,"Sí","No")</f>
        <v>No</v>
      </c>
      <c r="J132" t="str">
        <f>IF(COUNTIF(Creditos!B:B,A132)&gt;0,"Sí","No")</f>
        <v>Sí</v>
      </c>
      <c r="K132" t="str">
        <f>IF(COUNTIF(Depositos!B:B,A132)&gt;0,"Sí","No")</f>
        <v>No</v>
      </c>
    </row>
    <row r="133" spans="1:11" x14ac:dyDescent="0.25">
      <c r="A133" s="60" t="s">
        <v>483</v>
      </c>
      <c r="B133" s="6" t="s">
        <v>484</v>
      </c>
      <c r="C133" s="2" t="s">
        <v>1762</v>
      </c>
      <c r="D133" s="2" t="s">
        <v>485</v>
      </c>
      <c r="E133" s="2" t="s">
        <v>63</v>
      </c>
      <c r="F133" s="2" t="s">
        <v>64</v>
      </c>
      <c r="G133" s="2" t="s">
        <v>19</v>
      </c>
      <c r="H133" s="5">
        <v>46036</v>
      </c>
      <c r="I133" t="str">
        <f ca="1">IF(COUNTIFS(Creditos!B:B,A133,Creditos!R:R,"En mora")&gt;0,"Sí","No")</f>
        <v>No</v>
      </c>
      <c r="J133" t="str">
        <f>IF(COUNTIF(Creditos!B:B,A133)&gt;0,"Sí","No")</f>
        <v>Sí</v>
      </c>
      <c r="K133" t="str">
        <f>IF(COUNTIF(Depositos!B:B,A133)&gt;0,"Sí","No")</f>
        <v>No</v>
      </c>
    </row>
    <row r="134" spans="1:11" x14ac:dyDescent="0.25">
      <c r="A134" s="60" t="s">
        <v>486</v>
      </c>
      <c r="B134" s="6" t="s">
        <v>487</v>
      </c>
      <c r="C134" s="2" t="s">
        <v>1763</v>
      </c>
      <c r="D134" s="2" t="s">
        <v>488</v>
      </c>
      <c r="E134" s="2" t="s">
        <v>119</v>
      </c>
      <c r="F134" s="2" t="s">
        <v>84</v>
      </c>
      <c r="G134" s="2" t="s">
        <v>17</v>
      </c>
      <c r="H134" s="5">
        <v>44707</v>
      </c>
      <c r="I134" t="str">
        <f ca="1">IF(COUNTIFS(Creditos!B:B,A134,Creditos!R:R,"En mora")&gt;0,"Sí","No")</f>
        <v>No</v>
      </c>
      <c r="J134" t="str">
        <f>IF(COUNTIF(Creditos!B:B,A134)&gt;0,"Sí","No")</f>
        <v>Sí</v>
      </c>
      <c r="K134" t="str">
        <f>IF(COUNTIF(Depositos!B:B,A134)&gt;0,"Sí","No")</f>
        <v>Sí</v>
      </c>
    </row>
    <row r="135" spans="1:11" x14ac:dyDescent="0.25">
      <c r="A135" s="60" t="s">
        <v>489</v>
      </c>
      <c r="B135" s="6" t="s">
        <v>490</v>
      </c>
      <c r="C135" s="2" t="s">
        <v>1764</v>
      </c>
      <c r="D135" s="2" t="s">
        <v>491</v>
      </c>
      <c r="E135" s="2" t="s">
        <v>275</v>
      </c>
      <c r="F135" s="2" t="s">
        <v>64</v>
      </c>
      <c r="G135" s="2" t="s">
        <v>11</v>
      </c>
      <c r="H135" s="5">
        <v>45620</v>
      </c>
      <c r="I135" t="str">
        <f ca="1">IF(COUNTIFS(Creditos!B:B,A135,Creditos!R:R,"En mora")&gt;0,"Sí","No")</f>
        <v>No</v>
      </c>
      <c r="J135" t="str">
        <f>IF(COUNTIF(Creditos!B:B,A135)&gt;0,"Sí","No")</f>
        <v>Sí</v>
      </c>
      <c r="K135" t="str">
        <f>IF(COUNTIF(Depositos!B:B,A135)&gt;0,"Sí","No")</f>
        <v>Sí</v>
      </c>
    </row>
    <row r="136" spans="1:11" x14ac:dyDescent="0.25">
      <c r="A136" s="60" t="s">
        <v>492</v>
      </c>
      <c r="B136" s="6" t="s">
        <v>493</v>
      </c>
      <c r="C136" s="2" t="s">
        <v>1765</v>
      </c>
      <c r="D136" s="2" t="s">
        <v>494</v>
      </c>
      <c r="E136" s="2" t="s">
        <v>300</v>
      </c>
      <c r="F136" s="2" t="s">
        <v>64</v>
      </c>
      <c r="G136" s="2" t="s">
        <v>8</v>
      </c>
      <c r="H136" s="5">
        <v>45057</v>
      </c>
      <c r="I136" t="str">
        <f ca="1">IF(COUNTIFS(Creditos!B:B,A136,Creditos!R:R,"En mora")&gt;0,"Sí","No")</f>
        <v>No</v>
      </c>
      <c r="J136" t="str">
        <f>IF(COUNTIF(Creditos!B:B,A136)&gt;0,"Sí","No")</f>
        <v>Sí</v>
      </c>
      <c r="K136" t="str">
        <f>IF(COUNTIF(Depositos!B:B,A136)&gt;0,"Sí","No")</f>
        <v>Sí</v>
      </c>
    </row>
    <row r="137" spans="1:11" x14ac:dyDescent="0.25">
      <c r="A137" s="60" t="s">
        <v>495</v>
      </c>
      <c r="B137" s="6" t="s">
        <v>496</v>
      </c>
      <c r="C137" s="2" t="s">
        <v>1766</v>
      </c>
      <c r="D137" s="2" t="s">
        <v>497</v>
      </c>
      <c r="E137" s="2" t="s">
        <v>103</v>
      </c>
      <c r="F137" s="2" t="s">
        <v>64</v>
      </c>
      <c r="G137" s="2" t="s">
        <v>14</v>
      </c>
      <c r="H137" s="5">
        <v>45738</v>
      </c>
      <c r="I137" t="str">
        <f ca="1">IF(COUNTIFS(Creditos!B:B,A137,Creditos!R:R,"En mora")&gt;0,"Sí","No")</f>
        <v>No</v>
      </c>
      <c r="J137" t="str">
        <f>IF(COUNTIF(Creditos!B:B,A137)&gt;0,"Sí","No")</f>
        <v>Sí</v>
      </c>
      <c r="K137" t="str">
        <f>IF(COUNTIF(Depositos!B:B,A137)&gt;0,"Sí","No")</f>
        <v>Sí</v>
      </c>
    </row>
    <row r="138" spans="1:11" x14ac:dyDescent="0.25">
      <c r="A138" s="60" t="s">
        <v>498</v>
      </c>
      <c r="B138" s="6" t="s">
        <v>499</v>
      </c>
      <c r="C138" s="2" t="s">
        <v>1767</v>
      </c>
      <c r="D138" s="2" t="s">
        <v>500</v>
      </c>
      <c r="E138" s="2" t="s">
        <v>99</v>
      </c>
      <c r="F138" s="2" t="s">
        <v>64</v>
      </c>
      <c r="G138" s="2" t="s">
        <v>11</v>
      </c>
      <c r="H138" s="5">
        <v>45431</v>
      </c>
      <c r="I138" t="str">
        <f ca="1">IF(COUNTIFS(Creditos!B:B,A138,Creditos!R:R,"En mora")&gt;0,"Sí","No")</f>
        <v>No</v>
      </c>
      <c r="J138" t="str">
        <f>IF(COUNTIF(Creditos!B:B,A138)&gt;0,"Sí","No")</f>
        <v>Sí</v>
      </c>
      <c r="K138" t="str">
        <f>IF(COUNTIF(Depositos!B:B,A138)&gt;0,"Sí","No")</f>
        <v>No</v>
      </c>
    </row>
    <row r="139" spans="1:11" x14ac:dyDescent="0.25">
      <c r="A139" s="60" t="s">
        <v>501</v>
      </c>
      <c r="B139" s="6" t="s">
        <v>502</v>
      </c>
      <c r="C139" s="2" t="s">
        <v>1768</v>
      </c>
      <c r="D139" s="2" t="s">
        <v>503</v>
      </c>
      <c r="E139" s="2" t="s">
        <v>225</v>
      </c>
      <c r="F139" s="2" t="s">
        <v>64</v>
      </c>
      <c r="G139" s="2" t="s">
        <v>3</v>
      </c>
      <c r="H139" s="5">
        <v>45218</v>
      </c>
      <c r="I139" t="str">
        <f ca="1">IF(COUNTIFS(Creditos!B:B,A139,Creditos!R:R,"En mora")&gt;0,"Sí","No")</f>
        <v>No</v>
      </c>
      <c r="J139" t="str">
        <f>IF(COUNTIF(Creditos!B:B,A139)&gt;0,"Sí","No")</f>
        <v>Sí</v>
      </c>
      <c r="K139" t="str">
        <f>IF(COUNTIF(Depositos!B:B,A139)&gt;0,"Sí","No")</f>
        <v>No</v>
      </c>
    </row>
    <row r="140" spans="1:11" x14ac:dyDescent="0.25">
      <c r="A140" s="60" t="s">
        <v>504</v>
      </c>
      <c r="B140" s="6" t="s">
        <v>505</v>
      </c>
      <c r="C140" s="2" t="s">
        <v>1769</v>
      </c>
      <c r="D140" s="2" t="s">
        <v>506</v>
      </c>
      <c r="E140" s="2" t="s">
        <v>63</v>
      </c>
      <c r="F140" s="2" t="s">
        <v>64</v>
      </c>
      <c r="G140" s="2" t="s">
        <v>19</v>
      </c>
      <c r="H140" s="5">
        <v>45110</v>
      </c>
      <c r="I140" t="str">
        <f ca="1">IF(COUNTIFS(Creditos!B:B,A140,Creditos!R:R,"En mora")&gt;0,"Sí","No")</f>
        <v>No</v>
      </c>
      <c r="J140" t="str">
        <f>IF(COUNTIF(Creditos!B:B,A140)&gt;0,"Sí","No")</f>
        <v>Sí</v>
      </c>
      <c r="K140" t="str">
        <f>IF(COUNTIF(Depositos!B:B,A140)&gt;0,"Sí","No")</f>
        <v>No</v>
      </c>
    </row>
    <row r="141" spans="1:11" x14ac:dyDescent="0.25">
      <c r="A141" s="60" t="s">
        <v>507</v>
      </c>
      <c r="B141" s="6" t="s">
        <v>508</v>
      </c>
      <c r="C141" s="2" t="s">
        <v>1770</v>
      </c>
      <c r="D141" s="2" t="s">
        <v>509</v>
      </c>
      <c r="E141" s="2" t="s">
        <v>63</v>
      </c>
      <c r="F141" s="2" t="s">
        <v>84</v>
      </c>
      <c r="G141" s="2" t="s">
        <v>19</v>
      </c>
      <c r="H141" s="5">
        <v>45943</v>
      </c>
      <c r="I141" t="str">
        <f ca="1">IF(COUNTIFS(Creditos!B:B,A141,Creditos!R:R,"En mora")&gt;0,"Sí","No")</f>
        <v>No</v>
      </c>
      <c r="J141" t="str">
        <f>IF(COUNTIF(Creditos!B:B,A141)&gt;0,"Sí","No")</f>
        <v>Sí</v>
      </c>
      <c r="K141" t="str">
        <f>IF(COUNTIF(Depositos!B:B,A141)&gt;0,"Sí","No")</f>
        <v>Sí</v>
      </c>
    </row>
    <row r="142" spans="1:11" x14ac:dyDescent="0.25">
      <c r="A142" s="60" t="s">
        <v>510</v>
      </c>
      <c r="B142" s="6" t="s">
        <v>511</v>
      </c>
      <c r="C142" s="2" t="s">
        <v>1771</v>
      </c>
      <c r="D142" s="2" t="s">
        <v>512</v>
      </c>
      <c r="E142" s="2" t="s">
        <v>140</v>
      </c>
      <c r="F142" s="2" t="s">
        <v>64</v>
      </c>
      <c r="G142" s="2" t="s">
        <v>19</v>
      </c>
      <c r="H142" s="5">
        <v>45005</v>
      </c>
      <c r="I142" t="str">
        <f ca="1">IF(COUNTIFS(Creditos!B:B,A142,Creditos!R:R,"En mora")&gt;0,"Sí","No")</f>
        <v>No</v>
      </c>
      <c r="J142" t="str">
        <f>IF(COUNTIF(Creditos!B:B,A142)&gt;0,"Sí","No")</f>
        <v>Sí</v>
      </c>
      <c r="K142" t="str">
        <f>IF(COUNTIF(Depositos!B:B,A142)&gt;0,"Sí","No")</f>
        <v>No</v>
      </c>
    </row>
    <row r="143" spans="1:11" x14ac:dyDescent="0.25">
      <c r="A143" s="60" t="s">
        <v>513</v>
      </c>
      <c r="B143" s="6" t="s">
        <v>514</v>
      </c>
      <c r="C143" s="2" t="s">
        <v>1772</v>
      </c>
      <c r="D143" s="2" t="s">
        <v>515</v>
      </c>
      <c r="E143" s="2" t="s">
        <v>275</v>
      </c>
      <c r="F143" s="2" t="s">
        <v>64</v>
      </c>
      <c r="G143" s="2" t="s">
        <v>11</v>
      </c>
      <c r="H143" s="5">
        <v>46076</v>
      </c>
      <c r="I143" t="str">
        <f ca="1">IF(COUNTIFS(Creditos!B:B,A143,Creditos!R:R,"En mora")&gt;0,"Sí","No")</f>
        <v>No</v>
      </c>
      <c r="J143" t="str">
        <f>IF(COUNTIF(Creditos!B:B,A143)&gt;0,"Sí","No")</f>
        <v>Sí</v>
      </c>
      <c r="K143" t="str">
        <f>IF(COUNTIF(Depositos!B:B,A143)&gt;0,"Sí","No")</f>
        <v>No</v>
      </c>
    </row>
    <row r="144" spans="1:11" x14ac:dyDescent="0.25">
      <c r="A144" s="60" t="s">
        <v>516</v>
      </c>
      <c r="B144" s="6" t="s">
        <v>517</v>
      </c>
      <c r="C144" s="2" t="s">
        <v>1773</v>
      </c>
      <c r="D144" s="2" t="s">
        <v>518</v>
      </c>
      <c r="E144" s="2" t="s">
        <v>79</v>
      </c>
      <c r="F144" s="2" t="s">
        <v>64</v>
      </c>
      <c r="G144" s="2" t="s">
        <v>17</v>
      </c>
      <c r="H144" s="5">
        <v>45970</v>
      </c>
      <c r="I144" t="str">
        <f ca="1">IF(COUNTIFS(Creditos!B:B,A144,Creditos!R:R,"En mora")&gt;0,"Sí","No")</f>
        <v>No</v>
      </c>
      <c r="J144" t="str">
        <f>IF(COUNTIF(Creditos!B:B,A144)&gt;0,"Sí","No")</f>
        <v>Sí</v>
      </c>
      <c r="K144" t="str">
        <f>IF(COUNTIF(Depositos!B:B,A144)&gt;0,"Sí","No")</f>
        <v>No</v>
      </c>
    </row>
    <row r="145" spans="1:11" x14ac:dyDescent="0.25">
      <c r="A145" s="60" t="s">
        <v>519</v>
      </c>
      <c r="B145" s="6" t="s">
        <v>520</v>
      </c>
      <c r="C145" s="2" t="s">
        <v>1774</v>
      </c>
      <c r="D145" s="2" t="s">
        <v>521</v>
      </c>
      <c r="E145" s="2" t="s">
        <v>169</v>
      </c>
      <c r="F145" s="2" t="s">
        <v>64</v>
      </c>
      <c r="G145" s="2" t="s">
        <v>17</v>
      </c>
      <c r="H145" s="5">
        <v>45925</v>
      </c>
      <c r="I145" t="str">
        <f ca="1">IF(COUNTIFS(Creditos!B:B,A145,Creditos!R:R,"En mora")&gt;0,"Sí","No")</f>
        <v>No</v>
      </c>
      <c r="J145" t="str">
        <f>IF(COUNTIF(Creditos!B:B,A145)&gt;0,"Sí","No")</f>
        <v>Sí</v>
      </c>
      <c r="K145" t="str">
        <f>IF(COUNTIF(Depositos!B:B,A145)&gt;0,"Sí","No")</f>
        <v>Sí</v>
      </c>
    </row>
    <row r="146" spans="1:11" x14ac:dyDescent="0.25">
      <c r="A146" s="60" t="s">
        <v>522</v>
      </c>
      <c r="B146" s="6" t="s">
        <v>523</v>
      </c>
      <c r="C146" s="2" t="s">
        <v>1775</v>
      </c>
      <c r="D146" s="2" t="s">
        <v>524</v>
      </c>
      <c r="E146" s="2" t="s">
        <v>83</v>
      </c>
      <c r="F146" s="2" t="s">
        <v>64</v>
      </c>
      <c r="G146" s="2" t="s">
        <v>11</v>
      </c>
      <c r="H146" s="5">
        <v>44818</v>
      </c>
      <c r="I146" t="str">
        <f ca="1">IF(COUNTIFS(Creditos!B:B,A146,Creditos!R:R,"En mora")&gt;0,"Sí","No")</f>
        <v>No</v>
      </c>
      <c r="J146" t="str">
        <f>IF(COUNTIF(Creditos!B:B,A146)&gt;0,"Sí","No")</f>
        <v>Sí</v>
      </c>
      <c r="K146" t="str">
        <f>IF(COUNTIF(Depositos!B:B,A146)&gt;0,"Sí","No")</f>
        <v>Sí</v>
      </c>
    </row>
    <row r="147" spans="1:11" x14ac:dyDescent="0.25">
      <c r="A147" s="60" t="s">
        <v>525</v>
      </c>
      <c r="B147" s="6" t="s">
        <v>526</v>
      </c>
      <c r="C147" s="2" t="s">
        <v>1776</v>
      </c>
      <c r="D147" s="2" t="s">
        <v>527</v>
      </c>
      <c r="E147" s="2" t="s">
        <v>169</v>
      </c>
      <c r="F147" s="2" t="s">
        <v>64</v>
      </c>
      <c r="G147" s="2" t="s">
        <v>17</v>
      </c>
      <c r="H147" s="5">
        <v>45662</v>
      </c>
      <c r="I147" t="str">
        <f ca="1">IF(COUNTIFS(Creditos!B:B,A147,Creditos!R:R,"En mora")&gt;0,"Sí","No")</f>
        <v>No</v>
      </c>
      <c r="J147" t="str">
        <f>IF(COUNTIF(Creditos!B:B,A147)&gt;0,"Sí","No")</f>
        <v>Sí</v>
      </c>
      <c r="K147" t="str">
        <f>IF(COUNTIF(Depositos!B:B,A147)&gt;0,"Sí","No")</f>
        <v>Sí</v>
      </c>
    </row>
    <row r="148" spans="1:11" x14ac:dyDescent="0.25">
      <c r="A148" s="60" t="s">
        <v>528</v>
      </c>
      <c r="B148" s="6" t="s">
        <v>529</v>
      </c>
      <c r="C148" s="2" t="s">
        <v>1777</v>
      </c>
      <c r="D148" s="2" t="s">
        <v>530</v>
      </c>
      <c r="E148" s="2" t="s">
        <v>63</v>
      </c>
      <c r="F148" s="2" t="s">
        <v>64</v>
      </c>
      <c r="G148" s="2" t="s">
        <v>19</v>
      </c>
      <c r="H148" s="5">
        <v>45990</v>
      </c>
      <c r="I148" t="str">
        <f ca="1">IF(COUNTIFS(Creditos!B:B,A148,Creditos!R:R,"En mora")&gt;0,"Sí","No")</f>
        <v>No</v>
      </c>
      <c r="J148" t="str">
        <f>IF(COUNTIF(Creditos!B:B,A148)&gt;0,"Sí","No")</f>
        <v>Sí</v>
      </c>
      <c r="K148" t="str">
        <f>IF(COUNTIF(Depositos!B:B,A148)&gt;0,"Sí","No")</f>
        <v>Sí</v>
      </c>
    </row>
    <row r="149" spans="1:11" x14ac:dyDescent="0.25">
      <c r="A149" s="60" t="s">
        <v>531</v>
      </c>
      <c r="B149" s="6" t="s">
        <v>532</v>
      </c>
      <c r="C149" s="2" t="s">
        <v>1778</v>
      </c>
      <c r="D149" s="2" t="s">
        <v>533</v>
      </c>
      <c r="E149" s="2" t="s">
        <v>126</v>
      </c>
      <c r="F149" s="2" t="s">
        <v>64</v>
      </c>
      <c r="G149" s="2" t="s">
        <v>8</v>
      </c>
      <c r="H149" s="5">
        <v>45870</v>
      </c>
      <c r="I149" t="str">
        <f ca="1">IF(COUNTIFS(Creditos!B:B,A149,Creditos!R:R,"En mora")&gt;0,"Sí","No")</f>
        <v>Sí</v>
      </c>
      <c r="J149" t="str">
        <f>IF(COUNTIF(Creditos!B:B,A149)&gt;0,"Sí","No")</f>
        <v>Sí</v>
      </c>
      <c r="K149" t="str">
        <f>IF(COUNTIF(Depositos!B:B,A149)&gt;0,"Sí","No")</f>
        <v>Sí</v>
      </c>
    </row>
    <row r="150" spans="1:11" x14ac:dyDescent="0.25">
      <c r="A150" s="60" t="s">
        <v>534</v>
      </c>
      <c r="B150" s="6" t="s">
        <v>535</v>
      </c>
      <c r="C150" s="2" t="s">
        <v>1779</v>
      </c>
      <c r="D150" s="2" t="s">
        <v>536</v>
      </c>
      <c r="E150" s="2" t="s">
        <v>275</v>
      </c>
      <c r="F150" s="2" t="s">
        <v>64</v>
      </c>
      <c r="G150" s="2" t="s">
        <v>11</v>
      </c>
      <c r="H150" s="5">
        <v>45462</v>
      </c>
      <c r="I150" t="str">
        <f>IF(COUNTIFS(Creditos!B:B,A150,Creditos!R:R,"En mora")&gt;0,"Sí","No")</f>
        <v>No</v>
      </c>
      <c r="J150" t="str">
        <f>IF(COUNTIF(Creditos!B:B,A150)&gt;0,"Sí","No")</f>
        <v>No</v>
      </c>
      <c r="K150" t="str">
        <f>IF(COUNTIF(Depositos!B:B,A150)&gt;0,"Sí","No")</f>
        <v>No</v>
      </c>
    </row>
    <row r="151" spans="1:11" x14ac:dyDescent="0.25">
      <c r="A151" s="60" t="s">
        <v>537</v>
      </c>
      <c r="B151" s="6" t="s">
        <v>538</v>
      </c>
      <c r="C151" s="2" t="s">
        <v>1780</v>
      </c>
      <c r="D151" s="2" t="s">
        <v>539</v>
      </c>
      <c r="E151" s="2" t="s">
        <v>99</v>
      </c>
      <c r="F151" s="2" t="s">
        <v>84</v>
      </c>
      <c r="G151" s="2" t="s">
        <v>11</v>
      </c>
      <c r="H151" s="5">
        <v>44985</v>
      </c>
      <c r="I151" t="str">
        <f ca="1">IF(COUNTIFS(Creditos!B:B,A151,Creditos!R:R,"En mora")&gt;0,"Sí","No")</f>
        <v>No</v>
      </c>
      <c r="J151" t="str">
        <f>IF(COUNTIF(Creditos!B:B,A151)&gt;0,"Sí","No")</f>
        <v>Sí</v>
      </c>
      <c r="K151" t="str">
        <f>IF(COUNTIF(Depositos!B:B,A151)&gt;0,"Sí","No")</f>
        <v>No</v>
      </c>
    </row>
    <row r="152" spans="1:11" x14ac:dyDescent="0.25">
      <c r="A152" s="60" t="s">
        <v>540</v>
      </c>
      <c r="B152" s="6" t="s">
        <v>541</v>
      </c>
      <c r="C152" s="2" t="s">
        <v>1781</v>
      </c>
      <c r="D152" s="2" t="s">
        <v>542</v>
      </c>
      <c r="E152" s="2" t="s">
        <v>115</v>
      </c>
      <c r="F152" s="2" t="s">
        <v>64</v>
      </c>
      <c r="G152" s="2" t="s">
        <v>14</v>
      </c>
      <c r="H152" s="5">
        <v>44807</v>
      </c>
      <c r="I152" t="str">
        <f ca="1">IF(COUNTIFS(Creditos!B:B,A152,Creditos!R:R,"En mora")&gt;0,"Sí","No")</f>
        <v>Sí</v>
      </c>
      <c r="J152" t="str">
        <f>IF(COUNTIF(Creditos!B:B,A152)&gt;0,"Sí","No")</f>
        <v>Sí</v>
      </c>
      <c r="K152" t="str">
        <f>IF(COUNTIF(Depositos!B:B,A152)&gt;0,"Sí","No")</f>
        <v>Sí</v>
      </c>
    </row>
    <row r="153" spans="1:11" x14ac:dyDescent="0.25">
      <c r="A153" s="60" t="s">
        <v>543</v>
      </c>
      <c r="B153" s="6" t="s">
        <v>544</v>
      </c>
      <c r="C153" s="2" t="s">
        <v>1782</v>
      </c>
      <c r="D153" s="2" t="s">
        <v>545</v>
      </c>
      <c r="E153" s="2" t="s">
        <v>300</v>
      </c>
      <c r="F153" s="2" t="s">
        <v>84</v>
      </c>
      <c r="G153" s="2" t="s">
        <v>8</v>
      </c>
      <c r="H153" s="5">
        <v>45746</v>
      </c>
      <c r="I153" t="str">
        <f>IF(COUNTIFS(Creditos!B:B,A153,Creditos!R:R,"En mora")&gt;0,"Sí","No")</f>
        <v>No</v>
      </c>
      <c r="J153" t="str">
        <f>IF(COUNTIF(Creditos!B:B,A153)&gt;0,"Sí","No")</f>
        <v>No</v>
      </c>
      <c r="K153" t="str">
        <f>IF(COUNTIF(Depositos!B:B,A153)&gt;0,"Sí","No")</f>
        <v>No</v>
      </c>
    </row>
    <row r="154" spans="1:11" x14ac:dyDescent="0.25">
      <c r="A154" s="60" t="s">
        <v>546</v>
      </c>
      <c r="B154" s="6" t="s">
        <v>547</v>
      </c>
      <c r="C154" s="2" t="s">
        <v>1783</v>
      </c>
      <c r="D154" s="2" t="s">
        <v>548</v>
      </c>
      <c r="E154" s="2" t="s">
        <v>115</v>
      </c>
      <c r="F154" s="2" t="s">
        <v>64</v>
      </c>
      <c r="G154" s="2" t="s">
        <v>14</v>
      </c>
      <c r="H154" s="5">
        <v>45848</v>
      </c>
      <c r="I154" t="str">
        <f ca="1">IF(COUNTIFS(Creditos!B:B,A154,Creditos!R:R,"En mora")&gt;0,"Sí","No")</f>
        <v>No</v>
      </c>
      <c r="J154" t="str">
        <f>IF(COUNTIF(Creditos!B:B,A154)&gt;0,"Sí","No")</f>
        <v>Sí</v>
      </c>
      <c r="K154" t="str">
        <f>IF(COUNTIF(Depositos!B:B,A154)&gt;0,"Sí","No")</f>
        <v>No</v>
      </c>
    </row>
    <row r="155" spans="1:11" x14ac:dyDescent="0.25">
      <c r="A155" s="60" t="s">
        <v>549</v>
      </c>
      <c r="B155" s="6" t="s">
        <v>550</v>
      </c>
      <c r="C155" s="2" t="s">
        <v>1784</v>
      </c>
      <c r="D155" s="2" t="s">
        <v>551</v>
      </c>
      <c r="E155" s="2" t="s">
        <v>103</v>
      </c>
      <c r="F155" s="2" t="s">
        <v>64</v>
      </c>
      <c r="G155" s="2" t="s">
        <v>14</v>
      </c>
      <c r="H155" s="5">
        <v>44499</v>
      </c>
      <c r="I155" t="str">
        <f ca="1">IF(COUNTIFS(Creditos!B:B,A155,Creditos!R:R,"En mora")&gt;0,"Sí","No")</f>
        <v>No</v>
      </c>
      <c r="J155" t="str">
        <f>IF(COUNTIF(Creditos!B:B,A155)&gt;0,"Sí","No")</f>
        <v>Sí</v>
      </c>
      <c r="K155" t="str">
        <f>IF(COUNTIF(Depositos!B:B,A155)&gt;0,"Sí","No")</f>
        <v>Sí</v>
      </c>
    </row>
    <row r="156" spans="1:11" x14ac:dyDescent="0.25">
      <c r="A156" s="60" t="s">
        <v>552</v>
      </c>
      <c r="B156" s="6" t="s">
        <v>553</v>
      </c>
      <c r="C156" s="2" t="s">
        <v>1785</v>
      </c>
      <c r="D156" s="2" t="s">
        <v>554</v>
      </c>
      <c r="E156" s="2" t="s">
        <v>68</v>
      </c>
      <c r="F156" s="2" t="s">
        <v>84</v>
      </c>
      <c r="G156" s="2" t="s">
        <v>14</v>
      </c>
      <c r="H156" s="5">
        <v>45253</v>
      </c>
      <c r="I156" t="str">
        <f ca="1">IF(COUNTIFS(Creditos!B:B,A156,Creditos!R:R,"En mora")&gt;0,"Sí","No")</f>
        <v>No</v>
      </c>
      <c r="J156" t="str">
        <f>IF(COUNTIF(Creditos!B:B,A156)&gt;0,"Sí","No")</f>
        <v>Sí</v>
      </c>
      <c r="K156" t="str">
        <f>IF(COUNTIF(Depositos!B:B,A156)&gt;0,"Sí","No")</f>
        <v>No</v>
      </c>
    </row>
    <row r="157" spans="1:11" x14ac:dyDescent="0.25">
      <c r="A157" s="60" t="s">
        <v>555</v>
      </c>
      <c r="B157" s="6" t="s">
        <v>556</v>
      </c>
      <c r="C157" s="2" t="s">
        <v>1786</v>
      </c>
      <c r="D157" s="2" t="s">
        <v>557</v>
      </c>
      <c r="E157" s="2" t="s">
        <v>115</v>
      </c>
      <c r="F157" s="2" t="s">
        <v>64</v>
      </c>
      <c r="G157" s="2" t="s">
        <v>14</v>
      </c>
      <c r="H157" s="5">
        <v>44767</v>
      </c>
      <c r="I157" t="str">
        <f ca="1">IF(COUNTIFS(Creditos!B:B,A157,Creditos!R:R,"En mora")&gt;0,"Sí","No")</f>
        <v>No</v>
      </c>
      <c r="J157" t="str">
        <f>IF(COUNTIF(Creditos!B:B,A157)&gt;0,"Sí","No")</f>
        <v>Sí</v>
      </c>
      <c r="K157" t="str">
        <f>IF(COUNTIF(Depositos!B:B,A157)&gt;0,"Sí","No")</f>
        <v>Sí</v>
      </c>
    </row>
    <row r="158" spans="1:11" x14ac:dyDescent="0.25">
      <c r="A158" s="60" t="s">
        <v>558</v>
      </c>
      <c r="B158" s="6" t="s">
        <v>559</v>
      </c>
      <c r="C158" s="2" t="s">
        <v>1787</v>
      </c>
      <c r="D158" s="2" t="s">
        <v>560</v>
      </c>
      <c r="E158" s="2" t="s">
        <v>63</v>
      </c>
      <c r="F158" s="2" t="s">
        <v>64</v>
      </c>
      <c r="G158" s="2" t="s">
        <v>19</v>
      </c>
      <c r="H158" s="5">
        <v>44565</v>
      </c>
      <c r="I158" t="str">
        <f>IF(COUNTIFS(Creditos!B:B,A158,Creditos!R:R,"En mora")&gt;0,"Sí","No")</f>
        <v>No</v>
      </c>
      <c r="J158" t="str">
        <f>IF(COUNTIF(Creditos!B:B,A158)&gt;0,"Sí","No")</f>
        <v>No</v>
      </c>
      <c r="K158" t="str">
        <f>IF(COUNTIF(Depositos!B:B,A158)&gt;0,"Sí","No")</f>
        <v>Sí</v>
      </c>
    </row>
    <row r="159" spans="1:11" x14ac:dyDescent="0.25">
      <c r="A159" s="60" t="s">
        <v>561</v>
      </c>
      <c r="B159" s="6" t="s">
        <v>562</v>
      </c>
      <c r="C159" s="2" t="s">
        <v>1788</v>
      </c>
      <c r="D159" s="2" t="s">
        <v>563</v>
      </c>
      <c r="E159" s="2" t="s">
        <v>68</v>
      </c>
      <c r="F159" s="2" t="s">
        <v>64</v>
      </c>
      <c r="G159" s="2" t="s">
        <v>14</v>
      </c>
      <c r="H159" s="5">
        <v>46188</v>
      </c>
      <c r="I159" t="str">
        <f ca="1">IF(COUNTIFS(Creditos!B:B,A159,Creditos!R:R,"En mora")&gt;0,"Sí","No")</f>
        <v>Sí</v>
      </c>
      <c r="J159" t="str">
        <f>IF(COUNTIF(Creditos!B:B,A159)&gt;0,"Sí","No")</f>
        <v>Sí</v>
      </c>
      <c r="K159" t="str">
        <f>IF(COUNTIF(Depositos!B:B,A159)&gt;0,"Sí","No")</f>
        <v>No</v>
      </c>
    </row>
    <row r="160" spans="1:11" x14ac:dyDescent="0.25">
      <c r="A160" s="60" t="s">
        <v>564</v>
      </c>
      <c r="B160" s="6" t="s">
        <v>565</v>
      </c>
      <c r="C160" s="2" t="s">
        <v>1789</v>
      </c>
      <c r="D160" s="2" t="s">
        <v>566</v>
      </c>
      <c r="E160" s="2" t="s">
        <v>300</v>
      </c>
      <c r="F160" s="2" t="s">
        <v>64</v>
      </c>
      <c r="G160" s="2" t="s">
        <v>8</v>
      </c>
      <c r="H160" s="5">
        <v>45838</v>
      </c>
      <c r="I160" t="str">
        <f>IF(COUNTIFS(Creditos!B:B,A160,Creditos!R:R,"En mora")&gt;0,"Sí","No")</f>
        <v>No</v>
      </c>
      <c r="J160" t="str">
        <f>IF(COUNTIF(Creditos!B:B,A160)&gt;0,"Sí","No")</f>
        <v>No</v>
      </c>
      <c r="K160" t="str">
        <f>IF(COUNTIF(Depositos!B:B,A160)&gt;0,"Sí","No")</f>
        <v>Sí</v>
      </c>
    </row>
    <row r="161" spans="1:11" x14ac:dyDescent="0.25">
      <c r="A161" s="60" t="s">
        <v>567</v>
      </c>
      <c r="B161" s="6" t="s">
        <v>568</v>
      </c>
      <c r="C161" s="2" t="s">
        <v>1790</v>
      </c>
      <c r="D161" s="2" t="s">
        <v>569</v>
      </c>
      <c r="E161" s="2" t="s">
        <v>238</v>
      </c>
      <c r="F161" s="2" t="s">
        <v>64</v>
      </c>
      <c r="G161" s="2" t="s">
        <v>8</v>
      </c>
      <c r="H161" s="5">
        <v>45739</v>
      </c>
      <c r="I161" t="str">
        <f>IF(COUNTIFS(Creditos!B:B,A161,Creditos!R:R,"En mora")&gt;0,"Sí","No")</f>
        <v>No</v>
      </c>
      <c r="J161" t="str">
        <f>IF(COUNTIF(Creditos!B:B,A161)&gt;0,"Sí","No")</f>
        <v>No</v>
      </c>
      <c r="K161" t="str">
        <f>IF(COUNTIF(Depositos!B:B,A161)&gt;0,"Sí","No")</f>
        <v>Sí</v>
      </c>
    </row>
    <row r="162" spans="1:11" x14ac:dyDescent="0.25">
      <c r="A162" s="60" t="s">
        <v>570</v>
      </c>
      <c r="B162" s="6" t="s">
        <v>571</v>
      </c>
      <c r="C162" s="2" t="s">
        <v>1791</v>
      </c>
      <c r="D162" s="2" t="s">
        <v>572</v>
      </c>
      <c r="E162" s="2" t="s">
        <v>103</v>
      </c>
      <c r="F162" s="2" t="s">
        <v>84</v>
      </c>
      <c r="G162" s="2" t="s">
        <v>14</v>
      </c>
      <c r="H162" s="5">
        <v>45515</v>
      </c>
      <c r="I162" t="str">
        <f ca="1">IF(COUNTIFS(Creditos!B:B,A162,Creditos!R:R,"En mora")&gt;0,"Sí","No")</f>
        <v>No</v>
      </c>
      <c r="J162" t="str">
        <f>IF(COUNTIF(Creditos!B:B,A162)&gt;0,"Sí","No")</f>
        <v>Sí</v>
      </c>
      <c r="K162" t="str">
        <f>IF(COUNTIF(Depositos!B:B,A162)&gt;0,"Sí","No")</f>
        <v>No</v>
      </c>
    </row>
    <row r="163" spans="1:11" x14ac:dyDescent="0.25">
      <c r="A163" s="60" t="s">
        <v>573</v>
      </c>
      <c r="B163" s="6" t="s">
        <v>574</v>
      </c>
      <c r="C163" s="2" t="s">
        <v>1792</v>
      </c>
      <c r="D163" s="2" t="s">
        <v>575</v>
      </c>
      <c r="E163" s="2" t="s">
        <v>83</v>
      </c>
      <c r="F163" s="2" t="s">
        <v>84</v>
      </c>
      <c r="G163" s="2" t="s">
        <v>11</v>
      </c>
      <c r="H163" s="5">
        <v>45926</v>
      </c>
      <c r="I163" t="str">
        <f ca="1">IF(COUNTIFS(Creditos!B:B,A163,Creditos!R:R,"En mora")&gt;0,"Sí","No")</f>
        <v>No</v>
      </c>
      <c r="J163" t="str">
        <f>IF(COUNTIF(Creditos!B:B,A163)&gt;0,"Sí","No")</f>
        <v>Sí</v>
      </c>
      <c r="K163" t="str">
        <f>IF(COUNTIF(Depositos!B:B,A163)&gt;0,"Sí","No")</f>
        <v>Sí</v>
      </c>
    </row>
    <row r="164" spans="1:11" x14ac:dyDescent="0.25">
      <c r="A164" s="60" t="s">
        <v>576</v>
      </c>
      <c r="B164" s="6" t="s">
        <v>577</v>
      </c>
      <c r="C164" s="2" t="s">
        <v>1793</v>
      </c>
      <c r="D164" s="2" t="s">
        <v>578</v>
      </c>
      <c r="E164" s="2" t="s">
        <v>119</v>
      </c>
      <c r="F164" s="2" t="s">
        <v>64</v>
      </c>
      <c r="G164" s="2" t="s">
        <v>17</v>
      </c>
      <c r="H164" s="5">
        <v>45270</v>
      </c>
      <c r="I164" t="str">
        <f ca="1">IF(COUNTIFS(Creditos!B:B,A164,Creditos!R:R,"En mora")&gt;0,"Sí","No")</f>
        <v>Sí</v>
      </c>
      <c r="J164" t="str">
        <f>IF(COUNTIF(Creditos!B:B,A164)&gt;0,"Sí","No")</f>
        <v>Sí</v>
      </c>
      <c r="K164" t="str">
        <f>IF(COUNTIF(Depositos!B:B,A164)&gt;0,"Sí","No")</f>
        <v>Sí</v>
      </c>
    </row>
    <row r="165" spans="1:11" x14ac:dyDescent="0.25">
      <c r="A165" s="60" t="s">
        <v>579</v>
      </c>
      <c r="B165" s="6" t="s">
        <v>580</v>
      </c>
      <c r="C165" s="2" t="s">
        <v>1794</v>
      </c>
      <c r="D165" s="2" t="s">
        <v>581</v>
      </c>
      <c r="E165" s="2" t="s">
        <v>140</v>
      </c>
      <c r="F165" s="2" t="s">
        <v>64</v>
      </c>
      <c r="G165" s="2" t="s">
        <v>19</v>
      </c>
      <c r="H165" s="5">
        <v>45725</v>
      </c>
      <c r="I165" t="str">
        <f>IF(COUNTIFS(Creditos!B:B,A165,Creditos!R:R,"En mora")&gt;0,"Sí","No")</f>
        <v>No</v>
      </c>
      <c r="J165" t="str">
        <f>IF(COUNTIF(Creditos!B:B,A165)&gt;0,"Sí","No")</f>
        <v>No</v>
      </c>
      <c r="K165" t="str">
        <f>IF(COUNTIF(Depositos!B:B,A165)&gt;0,"Sí","No")</f>
        <v>Sí</v>
      </c>
    </row>
    <row r="166" spans="1:11" x14ac:dyDescent="0.25">
      <c r="A166" s="60" t="s">
        <v>582</v>
      </c>
      <c r="B166" s="6" t="s">
        <v>583</v>
      </c>
      <c r="C166" s="2" t="s">
        <v>1795</v>
      </c>
      <c r="D166" s="2" t="s">
        <v>584</v>
      </c>
      <c r="E166" s="2" t="s">
        <v>68</v>
      </c>
      <c r="F166" s="2" t="s">
        <v>64</v>
      </c>
      <c r="G166" s="2" t="s">
        <v>14</v>
      </c>
      <c r="H166" s="5">
        <v>45633</v>
      </c>
      <c r="I166" t="str">
        <f ca="1">IF(COUNTIFS(Creditos!B:B,A166,Creditos!R:R,"En mora")&gt;0,"Sí","No")</f>
        <v>Sí</v>
      </c>
      <c r="J166" t="str">
        <f>IF(COUNTIF(Creditos!B:B,A166)&gt;0,"Sí","No")</f>
        <v>Sí</v>
      </c>
      <c r="K166" t="str">
        <f>IF(COUNTIF(Depositos!B:B,A166)&gt;0,"Sí","No")</f>
        <v>Sí</v>
      </c>
    </row>
    <row r="167" spans="1:11" x14ac:dyDescent="0.25">
      <c r="A167" s="60" t="s">
        <v>585</v>
      </c>
      <c r="B167" s="6" t="s">
        <v>586</v>
      </c>
      <c r="C167" s="2" t="s">
        <v>1796</v>
      </c>
      <c r="D167" s="2" t="s">
        <v>587</v>
      </c>
      <c r="E167" s="2" t="s">
        <v>148</v>
      </c>
      <c r="F167" s="2" t="s">
        <v>64</v>
      </c>
      <c r="G167" s="2" t="s">
        <v>21</v>
      </c>
      <c r="H167" s="5">
        <v>44481</v>
      </c>
      <c r="I167" t="str">
        <f ca="1">IF(COUNTIFS(Creditos!B:B,A167,Creditos!R:R,"En mora")&gt;0,"Sí","No")</f>
        <v>Sí</v>
      </c>
      <c r="J167" t="str">
        <f>IF(COUNTIF(Creditos!B:B,A167)&gt;0,"Sí","No")</f>
        <v>Sí</v>
      </c>
      <c r="K167" t="str">
        <f>IF(COUNTIF(Depositos!B:B,A167)&gt;0,"Sí","No")</f>
        <v>Sí</v>
      </c>
    </row>
    <row r="168" spans="1:11" x14ac:dyDescent="0.25">
      <c r="A168" s="60" t="s">
        <v>588</v>
      </c>
      <c r="B168" s="6" t="s">
        <v>589</v>
      </c>
      <c r="C168" s="2" t="s">
        <v>1797</v>
      </c>
      <c r="D168" s="2" t="s">
        <v>590</v>
      </c>
      <c r="E168" s="2" t="s">
        <v>148</v>
      </c>
      <c r="F168" s="2" t="s">
        <v>84</v>
      </c>
      <c r="G168" s="2" t="s">
        <v>21</v>
      </c>
      <c r="H168" s="5">
        <v>44883</v>
      </c>
      <c r="I168" t="str">
        <f ca="1">IF(COUNTIFS(Creditos!B:B,A168,Creditos!R:R,"En mora")&gt;0,"Sí","No")</f>
        <v>Sí</v>
      </c>
      <c r="J168" t="str">
        <f>IF(COUNTIF(Creditos!B:B,A168)&gt;0,"Sí","No")</f>
        <v>Sí</v>
      </c>
      <c r="K168" t="str">
        <f>IF(COUNTIF(Depositos!B:B,A168)&gt;0,"Sí","No")</f>
        <v>Sí</v>
      </c>
    </row>
    <row r="169" spans="1:11" x14ac:dyDescent="0.25">
      <c r="A169" s="60" t="s">
        <v>591</v>
      </c>
      <c r="B169" s="6" t="s">
        <v>592</v>
      </c>
      <c r="C169" s="2" t="s">
        <v>1798</v>
      </c>
      <c r="D169" s="2" t="s">
        <v>593</v>
      </c>
      <c r="E169" s="2" t="s">
        <v>119</v>
      </c>
      <c r="F169" s="2" t="s">
        <v>64</v>
      </c>
      <c r="G169" s="2" t="s">
        <v>17</v>
      </c>
      <c r="H169" s="5">
        <v>44596</v>
      </c>
      <c r="I169" t="str">
        <f ca="1">IF(COUNTIFS(Creditos!B:B,A169,Creditos!R:R,"En mora")&gt;0,"Sí","No")</f>
        <v>No</v>
      </c>
      <c r="J169" t="str">
        <f>IF(COUNTIF(Creditos!B:B,A169)&gt;0,"Sí","No")</f>
        <v>Sí</v>
      </c>
      <c r="K169" t="str">
        <f>IF(COUNTIF(Depositos!B:B,A169)&gt;0,"Sí","No")</f>
        <v>Sí</v>
      </c>
    </row>
    <row r="170" spans="1:11" x14ac:dyDescent="0.25">
      <c r="A170" s="60" t="s">
        <v>594</v>
      </c>
      <c r="B170" s="6" t="s">
        <v>595</v>
      </c>
      <c r="C170" s="2" t="s">
        <v>1799</v>
      </c>
      <c r="D170" s="2" t="s">
        <v>596</v>
      </c>
      <c r="E170" s="2" t="s">
        <v>99</v>
      </c>
      <c r="F170" s="2" t="s">
        <v>64</v>
      </c>
      <c r="G170" s="2" t="s">
        <v>11</v>
      </c>
      <c r="H170" s="5">
        <v>45382</v>
      </c>
      <c r="I170" t="str">
        <f ca="1">IF(COUNTIFS(Creditos!B:B,A170,Creditos!R:R,"En mora")&gt;0,"Sí","No")</f>
        <v>No</v>
      </c>
      <c r="J170" t="str">
        <f>IF(COUNTIF(Creditos!B:B,A170)&gt;0,"Sí","No")</f>
        <v>Sí</v>
      </c>
      <c r="K170" t="str">
        <f>IF(COUNTIF(Depositos!B:B,A170)&gt;0,"Sí","No")</f>
        <v>Sí</v>
      </c>
    </row>
    <row r="171" spans="1:11" x14ac:dyDescent="0.25">
      <c r="A171" s="60" t="s">
        <v>597</v>
      </c>
      <c r="B171" s="6" t="s">
        <v>598</v>
      </c>
      <c r="C171" s="2" t="s">
        <v>1800</v>
      </c>
      <c r="D171" s="2" t="s">
        <v>599</v>
      </c>
      <c r="E171" s="2" t="s">
        <v>88</v>
      </c>
      <c r="F171" s="2" t="s">
        <v>64</v>
      </c>
      <c r="G171" s="2" t="s">
        <v>11</v>
      </c>
      <c r="H171" s="5">
        <v>44779</v>
      </c>
      <c r="I171" t="str">
        <f ca="1">IF(COUNTIFS(Creditos!B:B,A171,Creditos!R:R,"En mora")&gt;0,"Sí","No")</f>
        <v>No</v>
      </c>
      <c r="J171" t="str">
        <f>IF(COUNTIF(Creditos!B:B,A171)&gt;0,"Sí","No")</f>
        <v>Sí</v>
      </c>
      <c r="K171" t="str">
        <f>IF(COUNTIF(Depositos!B:B,A171)&gt;0,"Sí","No")</f>
        <v>Sí</v>
      </c>
    </row>
    <row r="172" spans="1:11" x14ac:dyDescent="0.25">
      <c r="A172" s="60" t="s">
        <v>600</v>
      </c>
      <c r="B172" s="6" t="s">
        <v>601</v>
      </c>
      <c r="C172" s="2" t="s">
        <v>1801</v>
      </c>
      <c r="D172" s="2" t="s">
        <v>602</v>
      </c>
      <c r="E172" s="2" t="s">
        <v>140</v>
      </c>
      <c r="F172" s="2" t="s">
        <v>64</v>
      </c>
      <c r="G172" s="2" t="s">
        <v>19</v>
      </c>
      <c r="H172" s="5">
        <v>45261</v>
      </c>
      <c r="I172" t="str">
        <f ca="1">IF(COUNTIFS(Creditos!B:B,A172,Creditos!R:R,"En mora")&gt;0,"Sí","No")</f>
        <v>No</v>
      </c>
      <c r="J172" t="str">
        <f>IF(COUNTIF(Creditos!B:B,A172)&gt;0,"Sí","No")</f>
        <v>Sí</v>
      </c>
      <c r="K172" t="str">
        <f>IF(COUNTIF(Depositos!B:B,A172)&gt;0,"Sí","No")</f>
        <v>Sí</v>
      </c>
    </row>
    <row r="173" spans="1:11" x14ac:dyDescent="0.25">
      <c r="A173" s="60" t="s">
        <v>603</v>
      </c>
      <c r="B173" s="6" t="s">
        <v>604</v>
      </c>
      <c r="C173" s="2" t="s">
        <v>1802</v>
      </c>
      <c r="D173" s="2" t="s">
        <v>605</v>
      </c>
      <c r="E173" s="2" t="s">
        <v>107</v>
      </c>
      <c r="F173" s="2" t="s">
        <v>64</v>
      </c>
      <c r="G173" s="2" t="s">
        <v>8</v>
      </c>
      <c r="H173" s="5">
        <v>44590</v>
      </c>
      <c r="I173" t="str">
        <f ca="1">IF(COUNTIFS(Creditos!B:B,A173,Creditos!R:R,"En mora")&gt;0,"Sí","No")</f>
        <v>No</v>
      </c>
      <c r="J173" t="str">
        <f>IF(COUNTIF(Creditos!B:B,A173)&gt;0,"Sí","No")</f>
        <v>Sí</v>
      </c>
      <c r="K173" t="str">
        <f>IF(COUNTIF(Depositos!B:B,A173)&gt;0,"Sí","No")</f>
        <v>No</v>
      </c>
    </row>
    <row r="174" spans="1:11" x14ac:dyDescent="0.25">
      <c r="A174" s="60" t="s">
        <v>606</v>
      </c>
      <c r="B174" s="6" t="s">
        <v>607</v>
      </c>
      <c r="C174" s="2" t="s">
        <v>1803</v>
      </c>
      <c r="D174" s="2" t="s">
        <v>608</v>
      </c>
      <c r="E174" s="2" t="s">
        <v>63</v>
      </c>
      <c r="F174" s="2" t="s">
        <v>84</v>
      </c>
      <c r="G174" s="2" t="s">
        <v>19</v>
      </c>
      <c r="H174" s="5">
        <v>45205</v>
      </c>
      <c r="I174" t="str">
        <f ca="1">IF(COUNTIFS(Creditos!B:B,A174,Creditos!R:R,"En mora")&gt;0,"Sí","No")</f>
        <v>No</v>
      </c>
      <c r="J174" t="str">
        <f>IF(COUNTIF(Creditos!B:B,A174)&gt;0,"Sí","No")</f>
        <v>Sí</v>
      </c>
      <c r="K174" t="str">
        <f>IF(COUNTIF(Depositos!B:B,A174)&gt;0,"Sí","No")</f>
        <v>No</v>
      </c>
    </row>
    <row r="175" spans="1:11" x14ac:dyDescent="0.25">
      <c r="A175" s="60" t="s">
        <v>609</v>
      </c>
      <c r="B175" s="6" t="s">
        <v>610</v>
      </c>
      <c r="C175" s="2" t="s">
        <v>1804</v>
      </c>
      <c r="D175" s="2" t="s">
        <v>611</v>
      </c>
      <c r="E175" s="2" t="s">
        <v>148</v>
      </c>
      <c r="F175" s="2" t="s">
        <v>64</v>
      </c>
      <c r="G175" s="2" t="s">
        <v>21</v>
      </c>
      <c r="H175" s="5">
        <v>45769</v>
      </c>
      <c r="I175" t="str">
        <f ca="1">IF(COUNTIFS(Creditos!B:B,A175,Creditos!R:R,"En mora")&gt;0,"Sí","No")</f>
        <v>No</v>
      </c>
      <c r="J175" t="str">
        <f>IF(COUNTIF(Creditos!B:B,A175)&gt;0,"Sí","No")</f>
        <v>Sí</v>
      </c>
      <c r="K175" t="str">
        <f>IF(COUNTIF(Depositos!B:B,A175)&gt;0,"Sí","No")</f>
        <v>No</v>
      </c>
    </row>
    <row r="176" spans="1:11" x14ac:dyDescent="0.25">
      <c r="A176" s="60" t="s">
        <v>612</v>
      </c>
      <c r="B176" s="6" t="s">
        <v>613</v>
      </c>
      <c r="C176" s="2" t="s">
        <v>1805</v>
      </c>
      <c r="D176" s="2" t="s">
        <v>614</v>
      </c>
      <c r="E176" s="2" t="s">
        <v>103</v>
      </c>
      <c r="F176" s="2" t="s">
        <v>84</v>
      </c>
      <c r="G176" s="2" t="s">
        <v>14</v>
      </c>
      <c r="H176" s="5">
        <v>44917</v>
      </c>
      <c r="I176" t="str">
        <f>IF(COUNTIFS(Creditos!B:B,A176,Creditos!R:R,"En mora")&gt;0,"Sí","No")</f>
        <v>No</v>
      </c>
      <c r="J176" t="str">
        <f>IF(COUNTIF(Creditos!B:B,A176)&gt;0,"Sí","No")</f>
        <v>No</v>
      </c>
      <c r="K176" t="str">
        <f>IF(COUNTIF(Depositos!B:B,A176)&gt;0,"Sí","No")</f>
        <v>Sí</v>
      </c>
    </row>
    <row r="177" spans="1:11" x14ac:dyDescent="0.25">
      <c r="A177" s="60" t="s">
        <v>615</v>
      </c>
      <c r="B177" s="6" t="s">
        <v>616</v>
      </c>
      <c r="C177" s="2" t="s">
        <v>1806</v>
      </c>
      <c r="D177" s="2" t="s">
        <v>617</v>
      </c>
      <c r="E177" s="2" t="s">
        <v>68</v>
      </c>
      <c r="F177" s="2" t="s">
        <v>64</v>
      </c>
      <c r="G177" s="2" t="s">
        <v>14</v>
      </c>
      <c r="H177" s="5">
        <v>44612</v>
      </c>
      <c r="I177" t="str">
        <f ca="1">IF(COUNTIFS(Creditos!B:B,A177,Creditos!R:R,"En mora")&gt;0,"Sí","No")</f>
        <v>No</v>
      </c>
      <c r="J177" t="str">
        <f>IF(COUNTIF(Creditos!B:B,A177)&gt;0,"Sí","No")</f>
        <v>Sí</v>
      </c>
      <c r="K177" t="str">
        <f>IF(COUNTIF(Depositos!B:B,A177)&gt;0,"Sí","No")</f>
        <v>Sí</v>
      </c>
    </row>
    <row r="178" spans="1:11" x14ac:dyDescent="0.25">
      <c r="A178" s="60" t="s">
        <v>618</v>
      </c>
      <c r="B178" s="6" t="s">
        <v>619</v>
      </c>
      <c r="C178" s="2" t="s">
        <v>1807</v>
      </c>
      <c r="D178" s="2" t="s">
        <v>620</v>
      </c>
      <c r="E178" s="2" t="s">
        <v>136</v>
      </c>
      <c r="F178" s="2" t="s">
        <v>84</v>
      </c>
      <c r="G178" s="2" t="s">
        <v>3</v>
      </c>
      <c r="H178" s="5">
        <v>45930</v>
      </c>
      <c r="I178" t="str">
        <f ca="1">IF(COUNTIFS(Creditos!B:B,A178,Creditos!R:R,"En mora")&gt;0,"Sí","No")</f>
        <v>Sí</v>
      </c>
      <c r="J178" t="str">
        <f>IF(COUNTIF(Creditos!B:B,A178)&gt;0,"Sí","No")</f>
        <v>Sí</v>
      </c>
      <c r="K178" t="str">
        <f>IF(COUNTIF(Depositos!B:B,A178)&gt;0,"Sí","No")</f>
        <v>Sí</v>
      </c>
    </row>
    <row r="179" spans="1:11" x14ac:dyDescent="0.25">
      <c r="A179" s="60" t="s">
        <v>621</v>
      </c>
      <c r="B179" s="6" t="s">
        <v>622</v>
      </c>
      <c r="C179" s="2" t="s">
        <v>1808</v>
      </c>
      <c r="D179" s="2" t="s">
        <v>623</v>
      </c>
      <c r="E179" s="2" t="s">
        <v>111</v>
      </c>
      <c r="F179" s="2" t="s">
        <v>64</v>
      </c>
      <c r="G179" s="2" t="s">
        <v>19</v>
      </c>
      <c r="H179" s="5">
        <v>44441</v>
      </c>
      <c r="I179" t="str">
        <f ca="1">IF(COUNTIFS(Creditos!B:B,A179,Creditos!R:R,"En mora")&gt;0,"Sí","No")</f>
        <v>No</v>
      </c>
      <c r="J179" t="str">
        <f>IF(COUNTIF(Creditos!B:B,A179)&gt;0,"Sí","No")</f>
        <v>Sí</v>
      </c>
      <c r="K179" t="str">
        <f>IF(COUNTIF(Depositos!B:B,A179)&gt;0,"Sí","No")</f>
        <v>No</v>
      </c>
    </row>
    <row r="180" spans="1:11" x14ac:dyDescent="0.25">
      <c r="A180" s="60" t="s">
        <v>624</v>
      </c>
      <c r="B180" s="6" t="s">
        <v>625</v>
      </c>
      <c r="C180" s="2" t="s">
        <v>1809</v>
      </c>
      <c r="D180" s="2" t="s">
        <v>626</v>
      </c>
      <c r="E180" s="2" t="s">
        <v>144</v>
      </c>
      <c r="F180" s="2" t="s">
        <v>64</v>
      </c>
      <c r="G180" s="2" t="s">
        <v>21</v>
      </c>
      <c r="H180" s="5">
        <v>44897</v>
      </c>
      <c r="I180" t="str">
        <f>IF(COUNTIFS(Creditos!B:B,A180,Creditos!R:R,"En mora")&gt;0,"Sí","No")</f>
        <v>No</v>
      </c>
      <c r="J180" t="str">
        <f>IF(COUNTIF(Creditos!B:B,A180)&gt;0,"Sí","No")</f>
        <v>No</v>
      </c>
      <c r="K180" t="str">
        <f>IF(COUNTIF(Depositos!B:B,A180)&gt;0,"Sí","No")</f>
        <v>Sí</v>
      </c>
    </row>
    <row r="181" spans="1:11" x14ac:dyDescent="0.25">
      <c r="A181" s="60" t="s">
        <v>627</v>
      </c>
      <c r="B181" s="6" t="s">
        <v>628</v>
      </c>
      <c r="C181" s="2" t="s">
        <v>1810</v>
      </c>
      <c r="D181" s="2" t="s">
        <v>629</v>
      </c>
      <c r="E181" s="2" t="s">
        <v>107</v>
      </c>
      <c r="F181" s="2" t="s">
        <v>64</v>
      </c>
      <c r="G181" s="2" t="s">
        <v>8</v>
      </c>
      <c r="H181" s="5">
        <v>45745</v>
      </c>
      <c r="I181" t="str">
        <f ca="1">IF(COUNTIFS(Creditos!B:B,A181,Creditos!R:R,"En mora")&gt;0,"Sí","No")</f>
        <v>No</v>
      </c>
      <c r="J181" t="str">
        <f>IF(COUNTIF(Creditos!B:B,A181)&gt;0,"Sí","No")</f>
        <v>Sí</v>
      </c>
      <c r="K181" t="str">
        <f>IF(COUNTIF(Depositos!B:B,A181)&gt;0,"Sí","No")</f>
        <v>Sí</v>
      </c>
    </row>
    <row r="182" spans="1:11" x14ac:dyDescent="0.25">
      <c r="A182" s="60" t="s">
        <v>630</v>
      </c>
      <c r="B182" s="6" t="s">
        <v>631</v>
      </c>
      <c r="C182" s="2" t="s">
        <v>1811</v>
      </c>
      <c r="D182" s="2" t="s">
        <v>632</v>
      </c>
      <c r="E182" s="2" t="s">
        <v>238</v>
      </c>
      <c r="F182" s="2" t="s">
        <v>64</v>
      </c>
      <c r="G182" s="2" t="s">
        <v>8</v>
      </c>
      <c r="H182" s="5">
        <v>45349</v>
      </c>
      <c r="I182" t="str">
        <f ca="1">IF(COUNTIFS(Creditos!B:B,A182,Creditos!R:R,"En mora")&gt;0,"Sí","No")</f>
        <v>No</v>
      </c>
      <c r="J182" t="str">
        <f>IF(COUNTIF(Creditos!B:B,A182)&gt;0,"Sí","No")</f>
        <v>Sí</v>
      </c>
      <c r="K182" t="str">
        <f>IF(COUNTIF(Depositos!B:B,A182)&gt;0,"Sí","No")</f>
        <v>No</v>
      </c>
    </row>
    <row r="183" spans="1:11" x14ac:dyDescent="0.25">
      <c r="A183" s="60" t="s">
        <v>633</v>
      </c>
      <c r="B183" s="6" t="s">
        <v>634</v>
      </c>
      <c r="C183" s="2" t="s">
        <v>1812</v>
      </c>
      <c r="D183" s="2" t="s">
        <v>635</v>
      </c>
      <c r="E183" s="2" t="s">
        <v>103</v>
      </c>
      <c r="F183" s="2" t="s">
        <v>64</v>
      </c>
      <c r="G183" s="2" t="s">
        <v>14</v>
      </c>
      <c r="H183" s="5">
        <v>45005</v>
      </c>
      <c r="I183" t="str">
        <f ca="1">IF(COUNTIFS(Creditos!B:B,A183,Creditos!R:R,"En mora")&gt;0,"Sí","No")</f>
        <v>Sí</v>
      </c>
      <c r="J183" t="str">
        <f>IF(COUNTIF(Creditos!B:B,A183)&gt;0,"Sí","No")</f>
        <v>Sí</v>
      </c>
      <c r="K183" t="str">
        <f>IF(COUNTIF(Depositos!B:B,A183)&gt;0,"Sí","No")</f>
        <v>Sí</v>
      </c>
    </row>
    <row r="184" spans="1:11" x14ac:dyDescent="0.25">
      <c r="A184" s="60" t="s">
        <v>636</v>
      </c>
      <c r="B184" s="6" t="s">
        <v>637</v>
      </c>
      <c r="C184" s="2" t="s">
        <v>1813</v>
      </c>
      <c r="D184" s="2" t="s">
        <v>638</v>
      </c>
      <c r="E184" s="2" t="s">
        <v>111</v>
      </c>
      <c r="F184" s="2" t="s">
        <v>84</v>
      </c>
      <c r="G184" s="2" t="s">
        <v>19</v>
      </c>
      <c r="H184" s="5">
        <v>45421</v>
      </c>
      <c r="I184" t="str">
        <f ca="1">IF(COUNTIFS(Creditos!B:B,A184,Creditos!R:R,"En mora")&gt;0,"Sí","No")</f>
        <v>No</v>
      </c>
      <c r="J184" t="str">
        <f>IF(COUNTIF(Creditos!B:B,A184)&gt;0,"Sí","No")</f>
        <v>Sí</v>
      </c>
      <c r="K184" t="str">
        <f>IF(COUNTIF(Depositos!B:B,A184)&gt;0,"Sí","No")</f>
        <v>Sí</v>
      </c>
    </row>
    <row r="185" spans="1:11" x14ac:dyDescent="0.25">
      <c r="A185" s="60" t="s">
        <v>639</v>
      </c>
      <c r="B185" s="6" t="s">
        <v>640</v>
      </c>
      <c r="C185" s="2" t="s">
        <v>1814</v>
      </c>
      <c r="D185" s="2" t="s">
        <v>641</v>
      </c>
      <c r="E185" s="2" t="s">
        <v>140</v>
      </c>
      <c r="F185" s="2" t="s">
        <v>64</v>
      </c>
      <c r="G185" s="2" t="s">
        <v>19</v>
      </c>
      <c r="H185" s="5">
        <v>46014</v>
      </c>
      <c r="I185" t="str">
        <f ca="1">IF(COUNTIFS(Creditos!B:B,A185,Creditos!R:R,"En mora")&gt;0,"Sí","No")</f>
        <v>Sí</v>
      </c>
      <c r="J185" t="str">
        <f>IF(COUNTIF(Creditos!B:B,A185)&gt;0,"Sí","No")</f>
        <v>Sí</v>
      </c>
      <c r="K185" t="str">
        <f>IF(COUNTIF(Depositos!B:B,A185)&gt;0,"Sí","No")</f>
        <v>Sí</v>
      </c>
    </row>
    <row r="186" spans="1:11" x14ac:dyDescent="0.25">
      <c r="A186" s="60" t="s">
        <v>642</v>
      </c>
      <c r="B186" s="6" t="s">
        <v>643</v>
      </c>
      <c r="C186" s="2" t="s">
        <v>1815</v>
      </c>
      <c r="D186" s="2" t="s">
        <v>644</v>
      </c>
      <c r="E186" s="2" t="s">
        <v>155</v>
      </c>
      <c r="F186" s="2" t="s">
        <v>64</v>
      </c>
      <c r="G186" s="2" t="s">
        <v>3</v>
      </c>
      <c r="H186" s="5">
        <v>45090</v>
      </c>
      <c r="I186" t="str">
        <f>IF(COUNTIFS(Creditos!B:B,A186,Creditos!R:R,"En mora")&gt;0,"Sí","No")</f>
        <v>No</v>
      </c>
      <c r="J186" t="str">
        <f>IF(COUNTIF(Creditos!B:B,A186)&gt;0,"Sí","No")</f>
        <v>No</v>
      </c>
      <c r="K186" t="str">
        <f>IF(COUNTIF(Depositos!B:B,A186)&gt;0,"Sí","No")</f>
        <v>Sí</v>
      </c>
    </row>
    <row r="187" spans="1:11" x14ac:dyDescent="0.25">
      <c r="A187" s="60" t="s">
        <v>645</v>
      </c>
      <c r="B187" s="6" t="s">
        <v>646</v>
      </c>
      <c r="C187" s="2" t="s">
        <v>1816</v>
      </c>
      <c r="D187" s="2" t="s">
        <v>647</v>
      </c>
      <c r="E187" s="2" t="s">
        <v>162</v>
      </c>
      <c r="F187" s="2" t="s">
        <v>64</v>
      </c>
      <c r="G187" s="2" t="s">
        <v>21</v>
      </c>
      <c r="H187" s="5">
        <v>46122</v>
      </c>
      <c r="I187" t="str">
        <f ca="1">IF(COUNTIFS(Creditos!B:B,A187,Creditos!R:R,"En mora")&gt;0,"Sí","No")</f>
        <v>No</v>
      </c>
      <c r="J187" t="str">
        <f>IF(COUNTIF(Creditos!B:B,A187)&gt;0,"Sí","No")</f>
        <v>Sí</v>
      </c>
      <c r="K187" t="str">
        <f>IF(COUNTIF(Depositos!B:B,A187)&gt;0,"Sí","No")</f>
        <v>No</v>
      </c>
    </row>
    <row r="188" spans="1:11" x14ac:dyDescent="0.25">
      <c r="A188" s="60" t="s">
        <v>648</v>
      </c>
      <c r="B188" s="6" t="s">
        <v>649</v>
      </c>
      <c r="C188" s="2" t="s">
        <v>1817</v>
      </c>
      <c r="D188" s="2" t="s">
        <v>650</v>
      </c>
      <c r="E188" s="2" t="s">
        <v>7</v>
      </c>
      <c r="F188" s="2" t="s">
        <v>64</v>
      </c>
      <c r="G188" s="2" t="s">
        <v>6</v>
      </c>
      <c r="H188" s="5">
        <v>45169</v>
      </c>
      <c r="I188" t="str">
        <f ca="1">IF(COUNTIFS(Creditos!B:B,A188,Creditos!R:R,"En mora")&gt;0,"Sí","No")</f>
        <v>No</v>
      </c>
      <c r="J188" t="str">
        <f>IF(COUNTIF(Creditos!B:B,A188)&gt;0,"Sí","No")</f>
        <v>Sí</v>
      </c>
      <c r="K188" t="str">
        <f>IF(COUNTIF(Depositos!B:B,A188)&gt;0,"Sí","No")</f>
        <v>No</v>
      </c>
    </row>
    <row r="189" spans="1:11" x14ac:dyDescent="0.25">
      <c r="A189" s="60" t="s">
        <v>651</v>
      </c>
      <c r="B189" s="6" t="s">
        <v>652</v>
      </c>
      <c r="C189" s="2" t="s">
        <v>1818</v>
      </c>
      <c r="D189" s="2" t="s">
        <v>653</v>
      </c>
      <c r="E189" s="2" t="s">
        <v>107</v>
      </c>
      <c r="F189" s="2" t="s">
        <v>84</v>
      </c>
      <c r="G189" s="2" t="s">
        <v>8</v>
      </c>
      <c r="H189" s="5">
        <v>44519</v>
      </c>
      <c r="I189" t="str">
        <f ca="1">IF(COUNTIFS(Creditos!B:B,A189,Creditos!R:R,"En mora")&gt;0,"Sí","No")</f>
        <v>No</v>
      </c>
      <c r="J189" t="str">
        <f>IF(COUNTIF(Creditos!B:B,A189)&gt;0,"Sí","No")</f>
        <v>Sí</v>
      </c>
      <c r="K189" t="str">
        <f>IF(COUNTIF(Depositos!B:B,A189)&gt;0,"Sí","No")</f>
        <v>Sí</v>
      </c>
    </row>
    <row r="190" spans="1:11" x14ac:dyDescent="0.25">
      <c r="A190" s="60" t="s">
        <v>654</v>
      </c>
      <c r="B190" s="6" t="s">
        <v>655</v>
      </c>
      <c r="C190" s="2" t="s">
        <v>1819</v>
      </c>
      <c r="D190" s="2" t="s">
        <v>656</v>
      </c>
      <c r="E190" s="2" t="s">
        <v>144</v>
      </c>
      <c r="F190" s="2" t="s">
        <v>64</v>
      </c>
      <c r="G190" s="2" t="s">
        <v>21</v>
      </c>
      <c r="H190" s="5">
        <v>46115</v>
      </c>
      <c r="I190" t="str">
        <f ca="1">IF(COUNTIFS(Creditos!B:B,A190,Creditos!R:R,"En mora")&gt;0,"Sí","No")</f>
        <v>No</v>
      </c>
      <c r="J190" t="str">
        <f>IF(COUNTIF(Creditos!B:B,A190)&gt;0,"Sí","No")</f>
        <v>Sí</v>
      </c>
      <c r="K190" t="str">
        <f>IF(COUNTIF(Depositos!B:B,A190)&gt;0,"Sí","No")</f>
        <v>Sí</v>
      </c>
    </row>
    <row r="191" spans="1:11" x14ac:dyDescent="0.25">
      <c r="A191" s="60" t="s">
        <v>657</v>
      </c>
      <c r="B191" s="6" t="s">
        <v>658</v>
      </c>
      <c r="C191" s="2" t="s">
        <v>1820</v>
      </c>
      <c r="D191" s="2" t="s">
        <v>659</v>
      </c>
      <c r="E191" s="2" t="s">
        <v>107</v>
      </c>
      <c r="F191" s="2" t="s">
        <v>64</v>
      </c>
      <c r="G191" s="2" t="s">
        <v>8</v>
      </c>
      <c r="H191" s="5">
        <v>45454</v>
      </c>
      <c r="I191" t="str">
        <f ca="1">IF(COUNTIFS(Creditos!B:B,A191,Creditos!R:R,"En mora")&gt;0,"Sí","No")</f>
        <v>No</v>
      </c>
      <c r="J191" t="str">
        <f>IF(COUNTIF(Creditos!B:B,A191)&gt;0,"Sí","No")</f>
        <v>Sí</v>
      </c>
      <c r="K191" t="str">
        <f>IF(COUNTIF(Depositos!B:B,A191)&gt;0,"Sí","No")</f>
        <v>No</v>
      </c>
    </row>
    <row r="192" spans="1:11" x14ac:dyDescent="0.25">
      <c r="A192" s="60" t="s">
        <v>660</v>
      </c>
      <c r="B192" s="6" t="s">
        <v>661</v>
      </c>
      <c r="C192" s="2" t="s">
        <v>1821</v>
      </c>
      <c r="D192" s="2" t="s">
        <v>662</v>
      </c>
      <c r="E192" s="2" t="s">
        <v>126</v>
      </c>
      <c r="F192" s="2" t="s">
        <v>64</v>
      </c>
      <c r="G192" s="2" t="s">
        <v>8</v>
      </c>
      <c r="H192" s="5">
        <v>45789</v>
      </c>
      <c r="I192" t="str">
        <f ca="1">IF(COUNTIFS(Creditos!B:B,A192,Creditos!R:R,"En mora")&gt;0,"Sí","No")</f>
        <v>Sí</v>
      </c>
      <c r="J192" t="str">
        <f>IF(COUNTIF(Creditos!B:B,A192)&gt;0,"Sí","No")</f>
        <v>Sí</v>
      </c>
      <c r="K192" t="str">
        <f>IF(COUNTIF(Depositos!B:B,A192)&gt;0,"Sí","No")</f>
        <v>No</v>
      </c>
    </row>
    <row r="193" spans="1:11" x14ac:dyDescent="0.25">
      <c r="A193" s="60" t="s">
        <v>663</v>
      </c>
      <c r="B193" s="6" t="s">
        <v>664</v>
      </c>
      <c r="C193" s="2" t="s">
        <v>1822</v>
      </c>
      <c r="D193" s="2" t="s">
        <v>665</v>
      </c>
      <c r="E193" s="2" t="s">
        <v>144</v>
      </c>
      <c r="F193" s="2" t="s">
        <v>84</v>
      </c>
      <c r="G193" s="2" t="s">
        <v>21</v>
      </c>
      <c r="H193" s="5">
        <v>45758</v>
      </c>
      <c r="I193" t="str">
        <f>IF(COUNTIFS(Creditos!B:B,A193,Creditos!R:R,"En mora")&gt;0,"Sí","No")</f>
        <v>Sí</v>
      </c>
      <c r="J193" t="str">
        <f>IF(COUNTIF(Creditos!B:B,A193)&gt;0,"Sí","No")</f>
        <v>Sí</v>
      </c>
      <c r="K193" t="str">
        <f>IF(COUNTIF(Depositos!B:B,A193)&gt;0,"Sí","No")</f>
        <v>No</v>
      </c>
    </row>
    <row r="194" spans="1:11" x14ac:dyDescent="0.25">
      <c r="A194" s="60" t="s">
        <v>666</v>
      </c>
      <c r="B194" s="6" t="s">
        <v>667</v>
      </c>
      <c r="C194" s="2" t="s">
        <v>1823</v>
      </c>
      <c r="D194" s="2" t="s">
        <v>668</v>
      </c>
      <c r="E194" s="2" t="s">
        <v>107</v>
      </c>
      <c r="F194" s="2" t="s">
        <v>64</v>
      </c>
      <c r="G194" s="2" t="s">
        <v>8</v>
      </c>
      <c r="H194" s="5">
        <v>45089</v>
      </c>
      <c r="I194" t="str">
        <f ca="1">IF(COUNTIFS(Creditos!B:B,A194,Creditos!R:R,"En mora")&gt;0,"Sí","No")</f>
        <v>No</v>
      </c>
      <c r="J194" t="str">
        <f>IF(COUNTIF(Creditos!B:B,A194)&gt;0,"Sí","No")</f>
        <v>Sí</v>
      </c>
      <c r="K194" t="str">
        <f>IF(COUNTIF(Depositos!B:B,A194)&gt;0,"Sí","No")</f>
        <v>Sí</v>
      </c>
    </row>
    <row r="195" spans="1:11" x14ac:dyDescent="0.25">
      <c r="A195" s="60" t="s">
        <v>669</v>
      </c>
      <c r="B195" s="6" t="s">
        <v>670</v>
      </c>
      <c r="C195" s="2" t="s">
        <v>1824</v>
      </c>
      <c r="D195" s="2" t="s">
        <v>671</v>
      </c>
      <c r="E195" s="2" t="s">
        <v>144</v>
      </c>
      <c r="F195" s="2" t="s">
        <v>84</v>
      </c>
      <c r="G195" s="2" t="s">
        <v>21</v>
      </c>
      <c r="H195" s="5">
        <v>44419</v>
      </c>
      <c r="I195" t="str">
        <f ca="1">IF(COUNTIFS(Creditos!B:B,A195,Creditos!R:R,"En mora")&gt;0,"Sí","No")</f>
        <v>No</v>
      </c>
      <c r="J195" t="str">
        <f>IF(COUNTIF(Creditos!B:B,A195)&gt;0,"Sí","No")</f>
        <v>Sí</v>
      </c>
      <c r="K195" t="str">
        <f>IF(COUNTIF(Depositos!B:B,A195)&gt;0,"Sí","No")</f>
        <v>Sí</v>
      </c>
    </row>
    <row r="196" spans="1:11" x14ac:dyDescent="0.25">
      <c r="A196" s="60" t="s">
        <v>672</v>
      </c>
      <c r="B196" s="6" t="s">
        <v>673</v>
      </c>
      <c r="C196" s="2" t="s">
        <v>1825</v>
      </c>
      <c r="D196" s="2" t="s">
        <v>674</v>
      </c>
      <c r="E196" s="2" t="s">
        <v>169</v>
      </c>
      <c r="F196" s="2" t="s">
        <v>64</v>
      </c>
      <c r="G196" s="2" t="s">
        <v>17</v>
      </c>
      <c r="H196" s="5">
        <v>46226</v>
      </c>
      <c r="I196" t="str">
        <f ca="1">IF(COUNTIFS(Creditos!B:B,A196,Creditos!R:R,"En mora")&gt;0,"Sí","No")</f>
        <v>No</v>
      </c>
      <c r="J196" t="str">
        <f>IF(COUNTIF(Creditos!B:B,A196)&gt;0,"Sí","No")</f>
        <v>Sí</v>
      </c>
      <c r="K196" t="str">
        <f>IF(COUNTIF(Depositos!B:B,A196)&gt;0,"Sí","No")</f>
        <v>Sí</v>
      </c>
    </row>
    <row r="197" spans="1:11" x14ac:dyDescent="0.25">
      <c r="A197" s="60" t="s">
        <v>675</v>
      </c>
      <c r="B197" s="6" t="s">
        <v>676</v>
      </c>
      <c r="C197" s="2" t="s">
        <v>1826</v>
      </c>
      <c r="D197" s="2" t="s">
        <v>677</v>
      </c>
      <c r="E197" s="2" t="s">
        <v>63</v>
      </c>
      <c r="F197" s="2" t="s">
        <v>64</v>
      </c>
      <c r="G197" s="2" t="s">
        <v>19</v>
      </c>
      <c r="H197" s="5">
        <v>44899</v>
      </c>
      <c r="I197" t="str">
        <f ca="1">IF(COUNTIFS(Creditos!B:B,A197,Creditos!R:R,"En mora")&gt;0,"Sí","No")</f>
        <v>No</v>
      </c>
      <c r="J197" t="str">
        <f>IF(COUNTIF(Creditos!B:B,A197)&gt;0,"Sí","No")</f>
        <v>Sí</v>
      </c>
      <c r="K197" t="str">
        <f>IF(COUNTIF(Depositos!B:B,A197)&gt;0,"Sí","No")</f>
        <v>Sí</v>
      </c>
    </row>
    <row r="198" spans="1:11" x14ac:dyDescent="0.25">
      <c r="A198" s="60" t="s">
        <v>678</v>
      </c>
      <c r="B198" s="6" t="s">
        <v>679</v>
      </c>
      <c r="C198" s="2" t="s">
        <v>1827</v>
      </c>
      <c r="D198" s="2" t="s">
        <v>680</v>
      </c>
      <c r="E198" s="2" t="s">
        <v>103</v>
      </c>
      <c r="F198" s="2" t="s">
        <v>64</v>
      </c>
      <c r="G198" s="2" t="s">
        <v>14</v>
      </c>
      <c r="H198" s="5">
        <v>45584</v>
      </c>
      <c r="I198" t="str">
        <f ca="1">IF(COUNTIFS(Creditos!B:B,A198,Creditos!R:R,"En mora")&gt;0,"Sí","No")</f>
        <v>Sí</v>
      </c>
      <c r="J198" t="str">
        <f>IF(COUNTIF(Creditos!B:B,A198)&gt;0,"Sí","No")</f>
        <v>Sí</v>
      </c>
      <c r="K198" t="str">
        <f>IF(COUNTIF(Depositos!B:B,A198)&gt;0,"Sí","No")</f>
        <v>Sí</v>
      </c>
    </row>
    <row r="199" spans="1:11" x14ac:dyDescent="0.25">
      <c r="A199" s="60" t="s">
        <v>681</v>
      </c>
      <c r="B199" s="6" t="s">
        <v>682</v>
      </c>
      <c r="C199" s="2" t="s">
        <v>1828</v>
      </c>
      <c r="D199" s="2" t="s">
        <v>683</v>
      </c>
      <c r="E199" s="2" t="s">
        <v>99</v>
      </c>
      <c r="F199" s="2" t="s">
        <v>64</v>
      </c>
      <c r="G199" s="2" t="s">
        <v>11</v>
      </c>
      <c r="H199" s="5">
        <v>45270</v>
      </c>
      <c r="I199" t="str">
        <f ca="1">IF(COUNTIFS(Creditos!B:B,A199,Creditos!R:R,"En mora")&gt;0,"Sí","No")</f>
        <v>No</v>
      </c>
      <c r="J199" t="str">
        <f>IF(COUNTIF(Creditos!B:B,A199)&gt;0,"Sí","No")</f>
        <v>Sí</v>
      </c>
      <c r="K199" t="str">
        <f>IF(COUNTIF(Depositos!B:B,A199)&gt;0,"Sí","No")</f>
        <v>Sí</v>
      </c>
    </row>
    <row r="200" spans="1:11" x14ac:dyDescent="0.25">
      <c r="A200" s="60" t="s">
        <v>684</v>
      </c>
      <c r="B200" s="6" t="s">
        <v>685</v>
      </c>
      <c r="C200" s="2" t="s">
        <v>1829</v>
      </c>
      <c r="D200" s="2" t="s">
        <v>686</v>
      </c>
      <c r="E200" s="2" t="s">
        <v>72</v>
      </c>
      <c r="F200" s="2" t="s">
        <v>64</v>
      </c>
      <c r="G200" s="2" t="s">
        <v>3</v>
      </c>
      <c r="H200" s="5">
        <v>44720</v>
      </c>
      <c r="I200" t="str">
        <f ca="1">IF(COUNTIFS(Creditos!B:B,A200,Creditos!R:R,"En mora")&gt;0,"Sí","No")</f>
        <v>No</v>
      </c>
      <c r="J200" t="str">
        <f>IF(COUNTIF(Creditos!B:B,A200)&gt;0,"Sí","No")</f>
        <v>Sí</v>
      </c>
      <c r="K200" t="str">
        <f>IF(COUNTIF(Depositos!B:B,A200)&gt;0,"Sí","No")</f>
        <v>No</v>
      </c>
    </row>
    <row r="201" spans="1:11" x14ac:dyDescent="0.25">
      <c r="A201" s="60" t="s">
        <v>687</v>
      </c>
      <c r="B201" s="6" t="s">
        <v>688</v>
      </c>
      <c r="C201" s="2" t="s">
        <v>1830</v>
      </c>
      <c r="D201" s="2" t="s">
        <v>689</v>
      </c>
      <c r="E201" s="2" t="s">
        <v>115</v>
      </c>
      <c r="F201" s="2" t="s">
        <v>64</v>
      </c>
      <c r="G201" s="2" t="s">
        <v>14</v>
      </c>
      <c r="H201" s="5">
        <v>45518</v>
      </c>
      <c r="I201" t="str">
        <f ca="1">IF(COUNTIFS(Creditos!B:B,A201,Creditos!R:R,"En mora")&gt;0,"Sí","No")</f>
        <v>No</v>
      </c>
      <c r="J201" t="str">
        <f>IF(COUNTIF(Creditos!B:B,A201)&gt;0,"Sí","No")</f>
        <v>Sí</v>
      </c>
      <c r="K201" t="str">
        <f>IF(COUNTIF(Depositos!B:B,A201)&gt;0,"Sí","No")</f>
        <v>No</v>
      </c>
    </row>
    <row r="202" spans="1:11" x14ac:dyDescent="0.25">
      <c r="A202" s="60" t="s">
        <v>690</v>
      </c>
      <c r="B202" s="6" t="s">
        <v>691</v>
      </c>
      <c r="C202" s="2" t="s">
        <v>1831</v>
      </c>
      <c r="D202" s="2" t="s">
        <v>692</v>
      </c>
      <c r="E202" s="2" t="s">
        <v>68</v>
      </c>
      <c r="F202" s="2" t="s">
        <v>84</v>
      </c>
      <c r="G202" s="2" t="s">
        <v>14</v>
      </c>
      <c r="H202" s="5">
        <v>44620</v>
      </c>
      <c r="I202" t="str">
        <f ca="1">IF(COUNTIFS(Creditos!B:B,A202,Creditos!R:R,"En mora")&gt;0,"Sí","No")</f>
        <v>No</v>
      </c>
      <c r="J202" t="str">
        <f>IF(COUNTIF(Creditos!B:B,A202)&gt;0,"Sí","No")</f>
        <v>Sí</v>
      </c>
      <c r="K202" t="str">
        <f>IF(COUNTIF(Depositos!B:B,A202)&gt;0,"Sí","No")</f>
        <v>No</v>
      </c>
    </row>
    <row r="203" spans="1:11" x14ac:dyDescent="0.25">
      <c r="A203" s="60" t="s">
        <v>693</v>
      </c>
      <c r="B203" s="6" t="s">
        <v>694</v>
      </c>
      <c r="C203" s="2" t="s">
        <v>1832</v>
      </c>
      <c r="D203" s="2" t="s">
        <v>695</v>
      </c>
      <c r="E203" s="2" t="s">
        <v>162</v>
      </c>
      <c r="F203" s="2" t="s">
        <v>64</v>
      </c>
      <c r="G203" s="2" t="s">
        <v>21</v>
      </c>
      <c r="H203" s="5">
        <v>45113</v>
      </c>
      <c r="I203" t="str">
        <f ca="1">IF(COUNTIFS(Creditos!B:B,A203,Creditos!R:R,"En mora")&gt;0,"Sí","No")</f>
        <v>No</v>
      </c>
      <c r="J203" t="str">
        <f>IF(COUNTIF(Creditos!B:B,A203)&gt;0,"Sí","No")</f>
        <v>Sí</v>
      </c>
      <c r="K203" t="str">
        <f>IF(COUNTIF(Depositos!B:B,A203)&gt;0,"Sí","No")</f>
        <v>No</v>
      </c>
    </row>
    <row r="204" spans="1:11" x14ac:dyDescent="0.25">
      <c r="A204" s="60" t="s">
        <v>696</v>
      </c>
      <c r="B204" s="6" t="s">
        <v>697</v>
      </c>
      <c r="C204" s="2" t="s">
        <v>1833</v>
      </c>
      <c r="D204" s="2" t="s">
        <v>698</v>
      </c>
      <c r="E204" s="2" t="s">
        <v>115</v>
      </c>
      <c r="F204" s="2" t="s">
        <v>64</v>
      </c>
      <c r="G204" s="2" t="s">
        <v>14</v>
      </c>
      <c r="H204" s="5">
        <v>45654</v>
      </c>
      <c r="I204" t="str">
        <f ca="1">IF(COUNTIFS(Creditos!B:B,A204,Creditos!R:R,"En mora")&gt;0,"Sí","No")</f>
        <v>No</v>
      </c>
      <c r="J204" t="str">
        <f>IF(COUNTIF(Creditos!B:B,A204)&gt;0,"Sí","No")</f>
        <v>Sí</v>
      </c>
      <c r="K204" t="str">
        <f>IF(COUNTIF(Depositos!B:B,A204)&gt;0,"Sí","No")</f>
        <v>No</v>
      </c>
    </row>
    <row r="205" spans="1:11" x14ac:dyDescent="0.25">
      <c r="A205" s="60" t="s">
        <v>699</v>
      </c>
      <c r="B205" s="6" t="s">
        <v>700</v>
      </c>
      <c r="C205" s="2" t="s">
        <v>1834</v>
      </c>
      <c r="D205" s="2" t="s">
        <v>701</v>
      </c>
      <c r="E205" s="2" t="s">
        <v>99</v>
      </c>
      <c r="F205" s="2" t="s">
        <v>64</v>
      </c>
      <c r="G205" s="2" t="s">
        <v>11</v>
      </c>
      <c r="H205" s="5">
        <v>45932</v>
      </c>
      <c r="I205" t="str">
        <f>IF(COUNTIFS(Creditos!B:B,A205,Creditos!R:R,"En mora")&gt;0,"Sí","No")</f>
        <v>No</v>
      </c>
      <c r="J205" t="str">
        <f>IF(COUNTIF(Creditos!B:B,A205)&gt;0,"Sí","No")</f>
        <v>No</v>
      </c>
      <c r="K205" t="str">
        <f>IF(COUNTIF(Depositos!B:B,A205)&gt;0,"Sí","No")</f>
        <v>Sí</v>
      </c>
    </row>
    <row r="206" spans="1:11" x14ac:dyDescent="0.25">
      <c r="A206" s="60" t="s">
        <v>702</v>
      </c>
      <c r="B206" s="6" t="s">
        <v>703</v>
      </c>
      <c r="C206" s="2" t="s">
        <v>1835</v>
      </c>
      <c r="D206" s="2" t="s">
        <v>704</v>
      </c>
      <c r="E206" s="2" t="s">
        <v>111</v>
      </c>
      <c r="F206" s="2" t="s">
        <v>64</v>
      </c>
      <c r="G206" s="2" t="s">
        <v>19</v>
      </c>
      <c r="H206" s="5">
        <v>46011</v>
      </c>
      <c r="I206" t="str">
        <f ca="1">IF(COUNTIFS(Creditos!B:B,A206,Creditos!R:R,"En mora")&gt;0,"Sí","No")</f>
        <v>Sí</v>
      </c>
      <c r="J206" t="str">
        <f>IF(COUNTIF(Creditos!B:B,A206)&gt;0,"Sí","No")</f>
        <v>Sí</v>
      </c>
      <c r="K206" t="str">
        <f>IF(COUNTIF(Depositos!B:B,A206)&gt;0,"Sí","No")</f>
        <v>No</v>
      </c>
    </row>
    <row r="207" spans="1:11" x14ac:dyDescent="0.25">
      <c r="A207" s="60" t="s">
        <v>705</v>
      </c>
      <c r="B207" s="6" t="s">
        <v>706</v>
      </c>
      <c r="C207" s="2" t="s">
        <v>1836</v>
      </c>
      <c r="D207" s="2" t="s">
        <v>707</v>
      </c>
      <c r="E207" s="2" t="s">
        <v>79</v>
      </c>
      <c r="F207" s="2" t="s">
        <v>64</v>
      </c>
      <c r="G207" s="2" t="s">
        <v>17</v>
      </c>
      <c r="H207" s="5">
        <v>44446</v>
      </c>
      <c r="I207" t="str">
        <f ca="1">IF(COUNTIFS(Creditos!B:B,A207,Creditos!R:R,"En mora")&gt;0,"Sí","No")</f>
        <v>No</v>
      </c>
      <c r="J207" t="str">
        <f>IF(COUNTIF(Creditos!B:B,A207)&gt;0,"Sí","No")</f>
        <v>Sí</v>
      </c>
      <c r="K207" t="str">
        <f>IF(COUNTIF(Depositos!B:B,A207)&gt;0,"Sí","No")</f>
        <v>Sí</v>
      </c>
    </row>
    <row r="208" spans="1:11" x14ac:dyDescent="0.25">
      <c r="A208" s="60" t="s">
        <v>708</v>
      </c>
      <c r="B208" s="6" t="s">
        <v>709</v>
      </c>
      <c r="C208" s="2" t="s">
        <v>1837</v>
      </c>
      <c r="D208" s="2" t="s">
        <v>710</v>
      </c>
      <c r="E208" s="2" t="s">
        <v>115</v>
      </c>
      <c r="F208" s="2" t="s">
        <v>64</v>
      </c>
      <c r="G208" s="2" t="s">
        <v>14</v>
      </c>
      <c r="H208" s="5">
        <v>46122</v>
      </c>
      <c r="I208" t="str">
        <f ca="1">IF(COUNTIFS(Creditos!B:B,A208,Creditos!R:R,"En mora")&gt;0,"Sí","No")</f>
        <v>No</v>
      </c>
      <c r="J208" t="str">
        <f>IF(COUNTIF(Creditos!B:B,A208)&gt;0,"Sí","No")</f>
        <v>Sí</v>
      </c>
      <c r="K208" t="str">
        <f>IF(COUNTIF(Depositos!B:B,A208)&gt;0,"Sí","No")</f>
        <v>Sí</v>
      </c>
    </row>
    <row r="209" spans="1:11" x14ac:dyDescent="0.25">
      <c r="A209" s="60" t="s">
        <v>711</v>
      </c>
      <c r="B209" s="6" t="s">
        <v>712</v>
      </c>
      <c r="C209" s="2" t="s">
        <v>1838</v>
      </c>
      <c r="D209" s="2" t="s">
        <v>713</v>
      </c>
      <c r="E209" s="2" t="s">
        <v>162</v>
      </c>
      <c r="F209" s="2" t="s">
        <v>64</v>
      </c>
      <c r="G209" s="2" t="s">
        <v>21</v>
      </c>
      <c r="H209" s="5">
        <v>44954</v>
      </c>
      <c r="I209" t="str">
        <f ca="1">IF(COUNTIFS(Creditos!B:B,A209,Creditos!R:R,"En mora")&gt;0,"Sí","No")</f>
        <v>No</v>
      </c>
      <c r="J209" t="str">
        <f>IF(COUNTIF(Creditos!B:B,A209)&gt;0,"Sí","No")</f>
        <v>Sí</v>
      </c>
      <c r="K209" t="str">
        <f>IF(COUNTIF(Depositos!B:B,A209)&gt;0,"Sí","No")</f>
        <v>No</v>
      </c>
    </row>
    <row r="210" spans="1:11" x14ac:dyDescent="0.25">
      <c r="A210" s="60" t="s">
        <v>714</v>
      </c>
      <c r="B210" s="6" t="s">
        <v>715</v>
      </c>
      <c r="C210" s="2" t="s">
        <v>1839</v>
      </c>
      <c r="D210" s="2" t="s">
        <v>716</v>
      </c>
      <c r="E210" s="2" t="s">
        <v>162</v>
      </c>
      <c r="F210" s="2" t="s">
        <v>64</v>
      </c>
      <c r="G210" s="2" t="s">
        <v>21</v>
      </c>
      <c r="H210" s="5">
        <v>44522</v>
      </c>
      <c r="I210" t="str">
        <f ca="1">IF(COUNTIFS(Creditos!B:B,A210,Creditos!R:R,"En mora")&gt;0,"Sí","No")</f>
        <v>No</v>
      </c>
      <c r="J210" t="str">
        <f>IF(COUNTIF(Creditos!B:B,A210)&gt;0,"Sí","No")</f>
        <v>Sí</v>
      </c>
      <c r="K210" t="str">
        <f>IF(COUNTIF(Depositos!B:B,A210)&gt;0,"Sí","No")</f>
        <v>Sí</v>
      </c>
    </row>
    <row r="211" spans="1:11" x14ac:dyDescent="0.25">
      <c r="A211" s="60" t="s">
        <v>717</v>
      </c>
      <c r="B211" s="6" t="s">
        <v>718</v>
      </c>
      <c r="C211" s="2" t="s">
        <v>1840</v>
      </c>
      <c r="D211" s="2" t="s">
        <v>719</v>
      </c>
      <c r="E211" s="2" t="s">
        <v>144</v>
      </c>
      <c r="F211" s="2" t="s">
        <v>64</v>
      </c>
      <c r="G211" s="2" t="s">
        <v>21</v>
      </c>
      <c r="H211" s="5">
        <v>45210</v>
      </c>
      <c r="I211" t="str">
        <f>IF(COUNTIFS(Creditos!B:B,A211,Creditos!R:R,"En mora")&gt;0,"Sí","No")</f>
        <v>Sí</v>
      </c>
      <c r="J211" t="str">
        <f>IF(COUNTIF(Creditos!B:B,A211)&gt;0,"Sí","No")</f>
        <v>Sí</v>
      </c>
      <c r="K211" t="str">
        <f>IF(COUNTIF(Depositos!B:B,A211)&gt;0,"Sí","No")</f>
        <v>Sí</v>
      </c>
    </row>
    <row r="212" spans="1:11" x14ac:dyDescent="0.25">
      <c r="A212" s="60" t="s">
        <v>720</v>
      </c>
      <c r="B212" s="6" t="s">
        <v>721</v>
      </c>
      <c r="C212" s="2" t="s">
        <v>1841</v>
      </c>
      <c r="D212" s="2" t="s">
        <v>722</v>
      </c>
      <c r="E212" s="2" t="s">
        <v>88</v>
      </c>
      <c r="F212" s="2" t="s">
        <v>64</v>
      </c>
      <c r="G212" s="2" t="s">
        <v>11</v>
      </c>
      <c r="H212" s="5">
        <v>45384</v>
      </c>
      <c r="I212" t="str">
        <f>IF(COUNTIFS(Creditos!B:B,A212,Creditos!R:R,"En mora")&gt;0,"Sí","No")</f>
        <v>No</v>
      </c>
      <c r="J212" t="str">
        <f>IF(COUNTIF(Creditos!B:B,A212)&gt;0,"Sí","No")</f>
        <v>No</v>
      </c>
      <c r="K212" t="str">
        <f>IF(COUNTIF(Depositos!B:B,A212)&gt;0,"Sí","No")</f>
        <v>Sí</v>
      </c>
    </row>
    <row r="213" spans="1:11" x14ac:dyDescent="0.25">
      <c r="A213" s="60" t="s">
        <v>723</v>
      </c>
      <c r="B213" s="6" t="s">
        <v>724</v>
      </c>
      <c r="C213" s="2" t="s">
        <v>1842</v>
      </c>
      <c r="D213" s="2" t="s">
        <v>725</v>
      </c>
      <c r="E213" s="2" t="s">
        <v>179</v>
      </c>
      <c r="F213" s="2" t="s">
        <v>84</v>
      </c>
      <c r="G213" s="2" t="s">
        <v>3</v>
      </c>
      <c r="H213" s="5">
        <v>44792</v>
      </c>
      <c r="I213" t="str">
        <f>IF(COUNTIFS(Creditos!B:B,A213,Creditos!R:R,"En mora")&gt;0,"Sí","No")</f>
        <v>No</v>
      </c>
      <c r="J213" t="str">
        <f>IF(COUNTIF(Creditos!B:B,A213)&gt;0,"Sí","No")</f>
        <v>No</v>
      </c>
      <c r="K213" t="str">
        <f>IF(COUNTIF(Depositos!B:B,A213)&gt;0,"Sí","No")</f>
        <v>No</v>
      </c>
    </row>
    <row r="214" spans="1:11" x14ac:dyDescent="0.25">
      <c r="A214" s="60" t="s">
        <v>726</v>
      </c>
      <c r="B214" s="6" t="s">
        <v>727</v>
      </c>
      <c r="C214" s="2" t="s">
        <v>1843</v>
      </c>
      <c r="D214" s="2" t="s">
        <v>728</v>
      </c>
      <c r="E214" s="2" t="s">
        <v>225</v>
      </c>
      <c r="F214" s="2" t="s">
        <v>64</v>
      </c>
      <c r="G214" s="2" t="s">
        <v>6</v>
      </c>
      <c r="H214" s="5">
        <v>44956</v>
      </c>
      <c r="I214" t="str">
        <f>IF(COUNTIFS(Creditos!B:B,A214,Creditos!R:R,"En mora")&gt;0,"Sí","No")</f>
        <v>No</v>
      </c>
      <c r="J214" t="str">
        <f>IF(COUNTIF(Creditos!B:B,A214)&gt;0,"Sí","No")</f>
        <v>No</v>
      </c>
      <c r="K214" t="str">
        <f>IF(COUNTIF(Depositos!B:B,A214)&gt;0,"Sí","No")</f>
        <v>Sí</v>
      </c>
    </row>
    <row r="215" spans="1:11" x14ac:dyDescent="0.25">
      <c r="A215" s="60" t="s">
        <v>729</v>
      </c>
      <c r="B215" s="6" t="s">
        <v>730</v>
      </c>
      <c r="C215" s="2" t="s">
        <v>1844</v>
      </c>
      <c r="D215" s="2" t="s">
        <v>731</v>
      </c>
      <c r="E215" s="2" t="s">
        <v>95</v>
      </c>
      <c r="F215" s="2" t="s">
        <v>64</v>
      </c>
      <c r="G215" s="2" t="s">
        <v>6</v>
      </c>
      <c r="H215" s="5">
        <v>45912</v>
      </c>
      <c r="I215" t="str">
        <f ca="1">IF(COUNTIFS(Creditos!B:B,A215,Creditos!R:R,"En mora")&gt;0,"Sí","No")</f>
        <v>No</v>
      </c>
      <c r="J215" t="str">
        <f>IF(COUNTIF(Creditos!B:B,A215)&gt;0,"Sí","No")</f>
        <v>Sí</v>
      </c>
      <c r="K215" t="str">
        <f>IF(COUNTIF(Depositos!B:B,A215)&gt;0,"Sí","No")</f>
        <v>No</v>
      </c>
    </row>
    <row r="216" spans="1:11" x14ac:dyDescent="0.25">
      <c r="A216" s="60" t="s">
        <v>732</v>
      </c>
      <c r="B216" s="6" t="s">
        <v>733</v>
      </c>
      <c r="C216" s="2" t="s">
        <v>1845</v>
      </c>
      <c r="D216" s="2" t="s">
        <v>734</v>
      </c>
      <c r="E216" s="2" t="s">
        <v>238</v>
      </c>
      <c r="F216" s="2" t="s">
        <v>64</v>
      </c>
      <c r="G216" s="2" t="s">
        <v>8</v>
      </c>
      <c r="H216" s="5">
        <v>44526</v>
      </c>
      <c r="I216" t="str">
        <f ca="1">IF(COUNTIFS(Creditos!B:B,A216,Creditos!R:R,"En mora")&gt;0,"Sí","No")</f>
        <v>No</v>
      </c>
      <c r="J216" t="str">
        <f>IF(COUNTIF(Creditos!B:B,A216)&gt;0,"Sí","No")</f>
        <v>Sí</v>
      </c>
      <c r="K216" t="str">
        <f>IF(COUNTIF(Depositos!B:B,A216)&gt;0,"Sí","No")</f>
        <v>No</v>
      </c>
    </row>
    <row r="217" spans="1:11" x14ac:dyDescent="0.25">
      <c r="A217" s="60" t="s">
        <v>735</v>
      </c>
      <c r="B217" s="6" t="s">
        <v>736</v>
      </c>
      <c r="C217" s="2" t="s">
        <v>1846</v>
      </c>
      <c r="D217" s="2" t="s">
        <v>737</v>
      </c>
      <c r="E217" s="2" t="s">
        <v>99</v>
      </c>
      <c r="F217" s="2" t="s">
        <v>64</v>
      </c>
      <c r="G217" s="2" t="s">
        <v>11</v>
      </c>
      <c r="H217" s="5">
        <v>45059</v>
      </c>
      <c r="I217" t="str">
        <f ca="1">IF(COUNTIFS(Creditos!B:B,A217,Creditos!R:R,"En mora")&gt;0,"Sí","No")</f>
        <v>No</v>
      </c>
      <c r="J217" t="str">
        <f>IF(COUNTIF(Creditos!B:B,A217)&gt;0,"Sí","No")</f>
        <v>Sí</v>
      </c>
      <c r="K217" t="str">
        <f>IF(COUNTIF(Depositos!B:B,A217)&gt;0,"Sí","No")</f>
        <v>No</v>
      </c>
    </row>
    <row r="218" spans="1:11" x14ac:dyDescent="0.25">
      <c r="A218" s="60" t="s">
        <v>738</v>
      </c>
      <c r="B218" s="6" t="s">
        <v>739</v>
      </c>
      <c r="C218" s="2" t="s">
        <v>1847</v>
      </c>
      <c r="D218" s="2" t="s">
        <v>740</v>
      </c>
      <c r="E218" s="2" t="s">
        <v>313</v>
      </c>
      <c r="F218" s="2" t="s">
        <v>84</v>
      </c>
      <c r="G218" s="2" t="s">
        <v>17</v>
      </c>
      <c r="H218" s="5">
        <v>46025</v>
      </c>
      <c r="I218" t="str">
        <f>IF(COUNTIFS(Creditos!B:B,A218,Creditos!R:R,"En mora")&gt;0,"Sí","No")</f>
        <v>No</v>
      </c>
      <c r="J218" t="str">
        <f>IF(COUNTIF(Creditos!B:B,A218)&gt;0,"Sí","No")</f>
        <v>No</v>
      </c>
      <c r="K218" t="str">
        <f>IF(COUNTIF(Depositos!B:B,A218)&gt;0,"Sí","No")</f>
        <v>Sí</v>
      </c>
    </row>
    <row r="219" spans="1:11" x14ac:dyDescent="0.25">
      <c r="A219" s="60" t="s">
        <v>741</v>
      </c>
      <c r="B219" s="6" t="s">
        <v>742</v>
      </c>
      <c r="C219" s="2" t="s">
        <v>1848</v>
      </c>
      <c r="D219" s="2" t="s">
        <v>743</v>
      </c>
      <c r="E219" s="2" t="s">
        <v>99</v>
      </c>
      <c r="F219" s="2" t="s">
        <v>64</v>
      </c>
      <c r="G219" s="2" t="s">
        <v>11</v>
      </c>
      <c r="H219" s="5">
        <v>45202</v>
      </c>
      <c r="I219" t="str">
        <f>IF(COUNTIFS(Creditos!B:B,A219,Creditos!R:R,"En mora")&gt;0,"Sí","No")</f>
        <v>Sí</v>
      </c>
      <c r="J219" t="str">
        <f>IF(COUNTIF(Creditos!B:B,A219)&gt;0,"Sí","No")</f>
        <v>Sí</v>
      </c>
      <c r="K219" t="str">
        <f>IF(COUNTIF(Depositos!B:B,A219)&gt;0,"Sí","No")</f>
        <v>No</v>
      </c>
    </row>
    <row r="220" spans="1:11" x14ac:dyDescent="0.25">
      <c r="A220" s="60" t="s">
        <v>744</v>
      </c>
      <c r="B220" s="6" t="s">
        <v>745</v>
      </c>
      <c r="C220" s="2" t="s">
        <v>1849</v>
      </c>
      <c r="D220" s="2" t="s">
        <v>746</v>
      </c>
      <c r="E220" s="2" t="s">
        <v>63</v>
      </c>
      <c r="F220" s="2" t="s">
        <v>84</v>
      </c>
      <c r="G220" s="2" t="s">
        <v>19</v>
      </c>
      <c r="H220" s="5">
        <v>45492</v>
      </c>
      <c r="I220" t="str">
        <f ca="1">IF(COUNTIFS(Creditos!B:B,A220,Creditos!R:R,"En mora")&gt;0,"Sí","No")</f>
        <v>No</v>
      </c>
      <c r="J220" t="str">
        <f>IF(COUNTIF(Creditos!B:B,A220)&gt;0,"Sí","No")</f>
        <v>Sí</v>
      </c>
      <c r="K220" t="str">
        <f>IF(COUNTIF(Depositos!B:B,A220)&gt;0,"Sí","No")</f>
        <v>Sí</v>
      </c>
    </row>
    <row r="221" spans="1:11" x14ac:dyDescent="0.25">
      <c r="A221" s="60" t="s">
        <v>747</v>
      </c>
      <c r="B221" s="6" t="s">
        <v>748</v>
      </c>
      <c r="C221" s="2" t="s">
        <v>1850</v>
      </c>
      <c r="D221" s="2" t="s">
        <v>749</v>
      </c>
      <c r="E221" s="2" t="s">
        <v>103</v>
      </c>
      <c r="F221" s="2" t="s">
        <v>64</v>
      </c>
      <c r="G221" s="2" t="s">
        <v>14</v>
      </c>
      <c r="H221" s="5">
        <v>45386</v>
      </c>
      <c r="I221" t="str">
        <f ca="1">IF(COUNTIFS(Creditos!B:B,A221,Creditos!R:R,"En mora")&gt;0,"Sí","No")</f>
        <v>No</v>
      </c>
      <c r="J221" t="str">
        <f>IF(COUNTIF(Creditos!B:B,A221)&gt;0,"Sí","No")</f>
        <v>Sí</v>
      </c>
      <c r="K221" t="str">
        <f>IF(COUNTIF(Depositos!B:B,A221)&gt;0,"Sí","No")</f>
        <v>Sí</v>
      </c>
    </row>
    <row r="222" spans="1:11" x14ac:dyDescent="0.25">
      <c r="A222" s="60" t="s">
        <v>750</v>
      </c>
      <c r="B222" s="6" t="s">
        <v>751</v>
      </c>
      <c r="C222" s="2" t="s">
        <v>1851</v>
      </c>
      <c r="D222" s="2" t="s">
        <v>752</v>
      </c>
      <c r="E222" s="2" t="s">
        <v>300</v>
      </c>
      <c r="F222" s="2" t="s">
        <v>64</v>
      </c>
      <c r="G222" s="2" t="s">
        <v>8</v>
      </c>
      <c r="H222" s="5">
        <v>45861</v>
      </c>
      <c r="I222" t="str">
        <f ca="1">IF(COUNTIFS(Creditos!B:B,A222,Creditos!R:R,"En mora")&gt;0,"Sí","No")</f>
        <v>Sí</v>
      </c>
      <c r="J222" t="str">
        <f>IF(COUNTIF(Creditos!B:B,A222)&gt;0,"Sí","No")</f>
        <v>Sí</v>
      </c>
      <c r="K222" t="str">
        <f>IF(COUNTIF(Depositos!B:B,A222)&gt;0,"Sí","No")</f>
        <v>No</v>
      </c>
    </row>
    <row r="223" spans="1:11" x14ac:dyDescent="0.25">
      <c r="A223" s="60" t="s">
        <v>753</v>
      </c>
      <c r="B223" s="6" t="s">
        <v>754</v>
      </c>
      <c r="C223" s="2" t="s">
        <v>1852</v>
      </c>
      <c r="D223" s="2" t="s">
        <v>755</v>
      </c>
      <c r="E223" s="2" t="s">
        <v>144</v>
      </c>
      <c r="F223" s="2" t="s">
        <v>64</v>
      </c>
      <c r="G223" s="2" t="s">
        <v>21</v>
      </c>
      <c r="H223" s="5">
        <v>45769</v>
      </c>
      <c r="I223" t="str">
        <f ca="1">IF(COUNTIFS(Creditos!B:B,A223,Creditos!R:R,"En mora")&gt;0,"Sí","No")</f>
        <v>No</v>
      </c>
      <c r="J223" t="str">
        <f>IF(COUNTIF(Creditos!B:B,A223)&gt;0,"Sí","No")</f>
        <v>Sí</v>
      </c>
      <c r="K223" t="str">
        <f>IF(COUNTIF(Depositos!B:B,A223)&gt;0,"Sí","No")</f>
        <v>Sí</v>
      </c>
    </row>
    <row r="224" spans="1:11" x14ac:dyDescent="0.25">
      <c r="A224" s="60" t="s">
        <v>756</v>
      </c>
      <c r="B224" s="6" t="s">
        <v>757</v>
      </c>
      <c r="C224" s="2" t="s">
        <v>1853</v>
      </c>
      <c r="D224" s="2" t="s">
        <v>758</v>
      </c>
      <c r="E224" s="2" t="s">
        <v>83</v>
      </c>
      <c r="F224" s="2" t="s">
        <v>64</v>
      </c>
      <c r="G224" s="2" t="s">
        <v>11</v>
      </c>
      <c r="H224" s="5">
        <v>45653</v>
      </c>
      <c r="I224" t="str">
        <f ca="1">IF(COUNTIFS(Creditos!B:B,A224,Creditos!R:R,"En mora")&gt;0,"Sí","No")</f>
        <v>No</v>
      </c>
      <c r="J224" t="str">
        <f>IF(COUNTIF(Creditos!B:B,A224)&gt;0,"Sí","No")</f>
        <v>Sí</v>
      </c>
      <c r="K224" t="str">
        <f>IF(COUNTIF(Depositos!B:B,A224)&gt;0,"Sí","No")</f>
        <v>No</v>
      </c>
    </row>
    <row r="225" spans="1:11" x14ac:dyDescent="0.25">
      <c r="A225" s="60" t="s">
        <v>759</v>
      </c>
      <c r="B225" s="6" t="s">
        <v>760</v>
      </c>
      <c r="C225" s="2" t="s">
        <v>1854</v>
      </c>
      <c r="D225" s="2" t="s">
        <v>761</v>
      </c>
      <c r="E225" s="2" t="s">
        <v>155</v>
      </c>
      <c r="F225" s="2" t="s">
        <v>64</v>
      </c>
      <c r="G225" s="2" t="s">
        <v>6</v>
      </c>
      <c r="H225" s="5">
        <v>46041</v>
      </c>
      <c r="I225" t="str">
        <f ca="1">IF(COUNTIFS(Creditos!B:B,A225,Creditos!R:R,"En mora")&gt;0,"Sí","No")</f>
        <v>No</v>
      </c>
      <c r="J225" t="str">
        <f>IF(COUNTIF(Creditos!B:B,A225)&gt;0,"Sí","No")</f>
        <v>Sí</v>
      </c>
      <c r="K225" t="str">
        <f>IF(COUNTIF(Depositos!B:B,A225)&gt;0,"Sí","No")</f>
        <v>Sí</v>
      </c>
    </row>
    <row r="226" spans="1:11" x14ac:dyDescent="0.25">
      <c r="A226" s="60" t="s">
        <v>762</v>
      </c>
      <c r="B226" s="6" t="s">
        <v>763</v>
      </c>
      <c r="C226" s="2" t="s">
        <v>1855</v>
      </c>
      <c r="D226" s="2" t="s">
        <v>764</v>
      </c>
      <c r="E226" s="2" t="s">
        <v>238</v>
      </c>
      <c r="F226" s="2" t="s">
        <v>64</v>
      </c>
      <c r="G226" s="2" t="s">
        <v>8</v>
      </c>
      <c r="H226" s="5">
        <v>44858</v>
      </c>
      <c r="I226" t="str">
        <f>IF(COUNTIFS(Creditos!B:B,A226,Creditos!R:R,"En mora")&gt;0,"Sí","No")</f>
        <v>No</v>
      </c>
      <c r="J226" t="str">
        <f>IF(COUNTIF(Creditos!B:B,A226)&gt;0,"Sí","No")</f>
        <v>No</v>
      </c>
      <c r="K226" t="str">
        <f>IF(COUNTIF(Depositos!B:B,A226)&gt;0,"Sí","No")</f>
        <v>Sí</v>
      </c>
    </row>
    <row r="227" spans="1:11" x14ac:dyDescent="0.25">
      <c r="A227" s="60" t="s">
        <v>765</v>
      </c>
      <c r="B227" s="6" t="s">
        <v>766</v>
      </c>
      <c r="C227" s="2" t="s">
        <v>1856</v>
      </c>
      <c r="D227" s="2" t="s">
        <v>767</v>
      </c>
      <c r="E227" s="2" t="s">
        <v>63</v>
      </c>
      <c r="F227" s="2" t="s">
        <v>64</v>
      </c>
      <c r="G227" s="2" t="s">
        <v>19</v>
      </c>
      <c r="H227" s="5">
        <v>45899</v>
      </c>
      <c r="I227" t="str">
        <f>IF(COUNTIFS(Creditos!B:B,A227,Creditos!R:R,"En mora")&gt;0,"Sí","No")</f>
        <v>No</v>
      </c>
      <c r="J227" t="str">
        <f>IF(COUNTIF(Creditos!B:B,A227)&gt;0,"Sí","No")</f>
        <v>No</v>
      </c>
      <c r="K227" t="str">
        <f>IF(COUNTIF(Depositos!B:B,A227)&gt;0,"Sí","No")</f>
        <v>Sí</v>
      </c>
    </row>
    <row r="228" spans="1:11" x14ac:dyDescent="0.25">
      <c r="A228" s="60" t="s">
        <v>768</v>
      </c>
      <c r="B228" s="6" t="s">
        <v>769</v>
      </c>
      <c r="C228" s="2" t="s">
        <v>1857</v>
      </c>
      <c r="D228" s="2" t="s">
        <v>770</v>
      </c>
      <c r="E228" s="2" t="s">
        <v>300</v>
      </c>
      <c r="F228" s="2" t="s">
        <v>64</v>
      </c>
      <c r="G228" s="2" t="s">
        <v>8</v>
      </c>
      <c r="H228" s="5">
        <v>46173</v>
      </c>
      <c r="I228" t="str">
        <f ca="1">IF(COUNTIFS(Creditos!B:B,A228,Creditos!R:R,"En mora")&gt;0,"Sí","No")</f>
        <v>No</v>
      </c>
      <c r="J228" t="str">
        <f>IF(COUNTIF(Creditos!B:B,A228)&gt;0,"Sí","No")</f>
        <v>Sí</v>
      </c>
      <c r="K228" t="str">
        <f>IF(COUNTIF(Depositos!B:B,A228)&gt;0,"Sí","No")</f>
        <v>No</v>
      </c>
    </row>
    <row r="229" spans="1:11" x14ac:dyDescent="0.25">
      <c r="A229" s="60" t="s">
        <v>771</v>
      </c>
      <c r="B229" s="6" t="s">
        <v>772</v>
      </c>
      <c r="C229" s="2" t="s">
        <v>1858</v>
      </c>
      <c r="D229" s="2" t="s">
        <v>773</v>
      </c>
      <c r="E229" s="2" t="s">
        <v>169</v>
      </c>
      <c r="F229" s="2" t="s">
        <v>64</v>
      </c>
      <c r="G229" s="2" t="s">
        <v>17</v>
      </c>
      <c r="H229" s="5">
        <v>45704</v>
      </c>
      <c r="I229" t="str">
        <f>IF(COUNTIFS(Creditos!B:B,A229,Creditos!R:R,"En mora")&gt;0,"Sí","No")</f>
        <v>No</v>
      </c>
      <c r="J229" t="str">
        <f>IF(COUNTIF(Creditos!B:B,A229)&gt;0,"Sí","No")</f>
        <v>No</v>
      </c>
      <c r="K229" t="str">
        <f>IF(COUNTIF(Depositos!B:B,A229)&gt;0,"Sí","No")</f>
        <v>No</v>
      </c>
    </row>
    <row r="230" spans="1:11" x14ac:dyDescent="0.25">
      <c r="A230" s="60" t="s">
        <v>774</v>
      </c>
      <c r="B230" s="6" t="s">
        <v>775</v>
      </c>
      <c r="C230" s="2" t="s">
        <v>1859</v>
      </c>
      <c r="D230" s="2" t="s">
        <v>776</v>
      </c>
      <c r="E230" s="2" t="s">
        <v>238</v>
      </c>
      <c r="F230" s="2" t="s">
        <v>64</v>
      </c>
      <c r="G230" s="2" t="s">
        <v>8</v>
      </c>
      <c r="H230" s="5">
        <v>45770</v>
      </c>
      <c r="I230" t="str">
        <f>IF(COUNTIFS(Creditos!B:B,A230,Creditos!R:R,"En mora")&gt;0,"Sí","No")</f>
        <v>No</v>
      </c>
      <c r="J230" t="str">
        <f>IF(COUNTIF(Creditos!B:B,A230)&gt;0,"Sí","No")</f>
        <v>No</v>
      </c>
      <c r="K230" t="str">
        <f>IF(COUNTIF(Depositos!B:B,A230)&gt;0,"Sí","No")</f>
        <v>Sí</v>
      </c>
    </row>
    <row r="231" spans="1:11" x14ac:dyDescent="0.25">
      <c r="A231" s="60" t="s">
        <v>777</v>
      </c>
      <c r="B231" s="6" t="s">
        <v>778</v>
      </c>
      <c r="C231" s="2" t="s">
        <v>1860</v>
      </c>
      <c r="D231" s="2" t="s">
        <v>779</v>
      </c>
      <c r="E231" s="2" t="s">
        <v>162</v>
      </c>
      <c r="F231" s="2" t="s">
        <v>84</v>
      </c>
      <c r="G231" s="2" t="s">
        <v>21</v>
      </c>
      <c r="H231" s="5">
        <v>45469</v>
      </c>
      <c r="I231" t="str">
        <f ca="1">IF(COUNTIFS(Creditos!B:B,A231,Creditos!R:R,"En mora")&gt;0,"Sí","No")</f>
        <v>No</v>
      </c>
      <c r="J231" t="str">
        <f>IF(COUNTIF(Creditos!B:B,A231)&gt;0,"Sí","No")</f>
        <v>Sí</v>
      </c>
      <c r="K231" t="str">
        <f>IF(COUNTIF(Depositos!B:B,A231)&gt;0,"Sí","No")</f>
        <v>Sí</v>
      </c>
    </row>
    <row r="232" spans="1:11" x14ac:dyDescent="0.25">
      <c r="A232" s="60" t="s">
        <v>780</v>
      </c>
      <c r="B232" s="6" t="s">
        <v>781</v>
      </c>
      <c r="C232" s="2" t="s">
        <v>1861</v>
      </c>
      <c r="D232" s="2" t="s">
        <v>782</v>
      </c>
      <c r="E232" s="2" t="s">
        <v>72</v>
      </c>
      <c r="F232" s="2" t="s">
        <v>84</v>
      </c>
      <c r="G232" s="2" t="s">
        <v>6</v>
      </c>
      <c r="H232" s="5">
        <v>44533</v>
      </c>
      <c r="I232" t="str">
        <f ca="1">IF(COUNTIFS(Creditos!B:B,A232,Creditos!R:R,"En mora")&gt;0,"Sí","No")</f>
        <v>No</v>
      </c>
      <c r="J232" t="str">
        <f>IF(COUNTIF(Creditos!B:B,A232)&gt;0,"Sí","No")</f>
        <v>Sí</v>
      </c>
      <c r="K232" t="str">
        <f>IF(COUNTIF(Depositos!B:B,A232)&gt;0,"Sí","No")</f>
        <v>Sí</v>
      </c>
    </row>
    <row r="233" spans="1:11" x14ac:dyDescent="0.25">
      <c r="A233" s="60" t="s">
        <v>783</v>
      </c>
      <c r="B233" s="6" t="s">
        <v>784</v>
      </c>
      <c r="C233" s="2" t="s">
        <v>1862</v>
      </c>
      <c r="D233" s="2" t="s">
        <v>785</v>
      </c>
      <c r="E233" s="2" t="s">
        <v>786</v>
      </c>
      <c r="F233" s="2" t="s">
        <v>64</v>
      </c>
      <c r="G233" s="2" t="s">
        <v>6</v>
      </c>
      <c r="H233" s="5">
        <v>44663</v>
      </c>
      <c r="I233" t="str">
        <f ca="1">IF(COUNTIFS(Creditos!B:B,A233,Creditos!R:R,"En mora")&gt;0,"Sí","No")</f>
        <v>No</v>
      </c>
      <c r="J233" t="str">
        <f>IF(COUNTIF(Creditos!B:B,A233)&gt;0,"Sí","No")</f>
        <v>Sí</v>
      </c>
      <c r="K233" t="str">
        <f>IF(COUNTIF(Depositos!B:B,A233)&gt;0,"Sí","No")</f>
        <v>Sí</v>
      </c>
    </row>
    <row r="234" spans="1:11" x14ac:dyDescent="0.25">
      <c r="A234" s="60" t="s">
        <v>787</v>
      </c>
      <c r="B234" s="6" t="s">
        <v>788</v>
      </c>
      <c r="C234" s="2" t="s">
        <v>1863</v>
      </c>
      <c r="D234" s="2" t="s">
        <v>789</v>
      </c>
      <c r="E234" s="2" t="s">
        <v>63</v>
      </c>
      <c r="F234" s="2" t="s">
        <v>84</v>
      </c>
      <c r="G234" s="2" t="s">
        <v>19</v>
      </c>
      <c r="H234" s="5">
        <v>44732</v>
      </c>
      <c r="I234" t="str">
        <f>IF(COUNTIFS(Creditos!B:B,A234,Creditos!R:R,"En mora")&gt;0,"Sí","No")</f>
        <v>No</v>
      </c>
      <c r="J234" t="str">
        <f>IF(COUNTIF(Creditos!B:B,A234)&gt;0,"Sí","No")</f>
        <v>No</v>
      </c>
      <c r="K234" t="str">
        <f>IF(COUNTIF(Depositos!B:B,A234)&gt;0,"Sí","No")</f>
        <v>No</v>
      </c>
    </row>
    <row r="235" spans="1:11" x14ac:dyDescent="0.25">
      <c r="A235" s="60" t="s">
        <v>790</v>
      </c>
      <c r="B235" s="6" t="s">
        <v>791</v>
      </c>
      <c r="C235" s="2" t="s">
        <v>1864</v>
      </c>
      <c r="D235" s="2" t="s">
        <v>792</v>
      </c>
      <c r="E235" s="2" t="s">
        <v>115</v>
      </c>
      <c r="F235" s="2" t="s">
        <v>64</v>
      </c>
      <c r="G235" s="2" t="s">
        <v>14</v>
      </c>
      <c r="H235" s="5">
        <v>44425</v>
      </c>
      <c r="I235" t="str">
        <f ca="1">IF(COUNTIFS(Creditos!B:B,A235,Creditos!R:R,"En mora")&gt;0,"Sí","No")</f>
        <v>No</v>
      </c>
      <c r="J235" t="str">
        <f>IF(COUNTIF(Creditos!B:B,A235)&gt;0,"Sí","No")</f>
        <v>Sí</v>
      </c>
      <c r="K235" t="str">
        <f>IF(COUNTIF(Depositos!B:B,A235)&gt;0,"Sí","No")</f>
        <v>Sí</v>
      </c>
    </row>
    <row r="236" spans="1:11" x14ac:dyDescent="0.25">
      <c r="A236" s="60" t="s">
        <v>793</v>
      </c>
      <c r="B236" s="6" t="s">
        <v>794</v>
      </c>
      <c r="C236" s="2" t="s">
        <v>1865</v>
      </c>
      <c r="D236" s="2" t="s">
        <v>795</v>
      </c>
      <c r="E236" s="2" t="s">
        <v>126</v>
      </c>
      <c r="F236" s="2" t="s">
        <v>64</v>
      </c>
      <c r="G236" s="2" t="s">
        <v>8</v>
      </c>
      <c r="H236" s="5">
        <v>45059</v>
      </c>
      <c r="I236" t="str">
        <f ca="1">IF(COUNTIFS(Creditos!B:B,A236,Creditos!R:R,"En mora")&gt;0,"Sí","No")</f>
        <v>Sí</v>
      </c>
      <c r="J236" t="str">
        <f>IF(COUNTIF(Creditos!B:B,A236)&gt;0,"Sí","No")</f>
        <v>Sí</v>
      </c>
      <c r="K236" t="str">
        <f>IF(COUNTIF(Depositos!B:B,A236)&gt;0,"Sí","No")</f>
        <v>Sí</v>
      </c>
    </row>
    <row r="237" spans="1:11" x14ac:dyDescent="0.25">
      <c r="A237" s="60" t="s">
        <v>796</v>
      </c>
      <c r="B237" s="6" t="s">
        <v>797</v>
      </c>
      <c r="C237" s="2" t="s">
        <v>1866</v>
      </c>
      <c r="D237" s="2" t="s">
        <v>798</v>
      </c>
      <c r="E237" s="2" t="s">
        <v>179</v>
      </c>
      <c r="F237" s="2" t="s">
        <v>64</v>
      </c>
      <c r="G237" s="2" t="s">
        <v>6</v>
      </c>
      <c r="H237" s="5">
        <v>45518</v>
      </c>
      <c r="I237" t="str">
        <f ca="1">IF(COUNTIFS(Creditos!B:B,A237,Creditos!R:R,"En mora")&gt;0,"Sí","No")</f>
        <v>No</v>
      </c>
      <c r="J237" t="str">
        <f>IF(COUNTIF(Creditos!B:B,A237)&gt;0,"Sí","No")</f>
        <v>Sí</v>
      </c>
      <c r="K237" t="str">
        <f>IF(COUNTIF(Depositos!B:B,A237)&gt;0,"Sí","No")</f>
        <v>Sí</v>
      </c>
    </row>
    <row r="238" spans="1:11" x14ac:dyDescent="0.25">
      <c r="A238" s="60" t="s">
        <v>799</v>
      </c>
      <c r="B238" s="6" t="s">
        <v>800</v>
      </c>
      <c r="C238" s="2" t="s">
        <v>1867</v>
      </c>
      <c r="D238" s="2" t="s">
        <v>801</v>
      </c>
      <c r="E238" s="2" t="s">
        <v>88</v>
      </c>
      <c r="F238" s="2" t="s">
        <v>64</v>
      </c>
      <c r="G238" s="2" t="s">
        <v>11</v>
      </c>
      <c r="H238" s="5">
        <v>45399</v>
      </c>
      <c r="I238" t="str">
        <f ca="1">IF(COUNTIFS(Creditos!B:B,A238,Creditos!R:R,"En mora")&gt;0,"Sí","No")</f>
        <v>No</v>
      </c>
      <c r="J238" t="str">
        <f>IF(COUNTIF(Creditos!B:B,A238)&gt;0,"Sí","No")</f>
        <v>Sí</v>
      </c>
      <c r="K238" t="str">
        <f>IF(COUNTIF(Depositos!B:B,A238)&gt;0,"Sí","No")</f>
        <v>Sí</v>
      </c>
    </row>
    <row r="239" spans="1:11" x14ac:dyDescent="0.25">
      <c r="A239" s="60" t="s">
        <v>802</v>
      </c>
      <c r="B239" s="6">
        <v>29759605</v>
      </c>
      <c r="C239" s="2" t="s">
        <v>1868</v>
      </c>
      <c r="D239" s="2" t="s">
        <v>803</v>
      </c>
      <c r="E239" s="2" t="s">
        <v>169</v>
      </c>
      <c r="F239" s="2" t="s">
        <v>84</v>
      </c>
      <c r="G239" s="2" t="s">
        <v>17</v>
      </c>
      <c r="H239" s="5">
        <v>45513</v>
      </c>
      <c r="I239" t="str">
        <f ca="1">IF(COUNTIFS(Creditos!B:B,A239,Creditos!R:R,"En mora")&gt;0,"Sí","No")</f>
        <v>Sí</v>
      </c>
      <c r="J239" t="str">
        <f>IF(COUNTIF(Creditos!B:B,A239)&gt;0,"Sí","No")</f>
        <v>Sí</v>
      </c>
      <c r="K239" t="str">
        <f>IF(COUNTIF(Depositos!B:B,A239)&gt;0,"Sí","No")</f>
        <v>Sí</v>
      </c>
    </row>
    <row r="240" spans="1:11" x14ac:dyDescent="0.25">
      <c r="A240" s="60" t="s">
        <v>804</v>
      </c>
      <c r="B240" s="6" t="s">
        <v>805</v>
      </c>
      <c r="C240" s="2" t="s">
        <v>1869</v>
      </c>
      <c r="D240" s="2" t="s">
        <v>806</v>
      </c>
      <c r="E240" s="2" t="s">
        <v>111</v>
      </c>
      <c r="F240" s="2" t="s">
        <v>64</v>
      </c>
      <c r="G240" s="2" t="s">
        <v>19</v>
      </c>
      <c r="H240" s="5">
        <v>45948</v>
      </c>
      <c r="I240" t="str">
        <f ca="1">IF(COUNTIFS(Creditos!B:B,A240,Creditos!R:R,"En mora")&gt;0,"Sí","No")</f>
        <v>Sí</v>
      </c>
      <c r="J240" t="str">
        <f>IF(COUNTIF(Creditos!B:B,A240)&gt;0,"Sí","No")</f>
        <v>Sí</v>
      </c>
      <c r="K240" t="str">
        <f>IF(COUNTIF(Depositos!B:B,A240)&gt;0,"Sí","No")</f>
        <v>No</v>
      </c>
    </row>
    <row r="241" spans="1:11" x14ac:dyDescent="0.25">
      <c r="A241" s="60" t="s">
        <v>807</v>
      </c>
      <c r="B241" s="6" t="s">
        <v>808</v>
      </c>
      <c r="C241" s="2" t="s">
        <v>1870</v>
      </c>
      <c r="D241" s="2" t="s">
        <v>809</v>
      </c>
      <c r="E241" s="2" t="s">
        <v>148</v>
      </c>
      <c r="F241" s="2" t="s">
        <v>64</v>
      </c>
      <c r="G241" s="2" t="s">
        <v>21</v>
      </c>
      <c r="H241" s="5">
        <v>45234</v>
      </c>
      <c r="I241" t="str">
        <f ca="1">IF(COUNTIFS(Creditos!B:B,A241,Creditos!R:R,"En mora")&gt;0,"Sí","No")</f>
        <v>Sí</v>
      </c>
      <c r="J241" t="str">
        <f>IF(COUNTIF(Creditos!B:B,A241)&gt;0,"Sí","No")</f>
        <v>Sí</v>
      </c>
      <c r="K241" t="str">
        <f>IF(COUNTIF(Depositos!B:B,A241)&gt;0,"Sí","No")</f>
        <v>Sí</v>
      </c>
    </row>
    <row r="242" spans="1:11" x14ac:dyDescent="0.25">
      <c r="A242" s="60" t="s">
        <v>810</v>
      </c>
      <c r="B242" s="6" t="s">
        <v>811</v>
      </c>
      <c r="C242" s="2" t="s">
        <v>1871</v>
      </c>
      <c r="D242" s="2" t="s">
        <v>812</v>
      </c>
      <c r="E242" s="2" t="s">
        <v>107</v>
      </c>
      <c r="F242" s="2" t="s">
        <v>64</v>
      </c>
      <c r="G242" s="2" t="s">
        <v>8</v>
      </c>
      <c r="H242" s="5">
        <v>45394</v>
      </c>
      <c r="I242" t="str">
        <f ca="1">IF(COUNTIFS(Creditos!B:B,A242,Creditos!R:R,"En mora")&gt;0,"Sí","No")</f>
        <v>No</v>
      </c>
      <c r="J242" t="str">
        <f>IF(COUNTIF(Creditos!B:B,A242)&gt;0,"Sí","No")</f>
        <v>Sí</v>
      </c>
      <c r="K242" t="str">
        <f>IF(COUNTIF(Depositos!B:B,A242)&gt;0,"Sí","No")</f>
        <v>Sí</v>
      </c>
    </row>
    <row r="243" spans="1:11" x14ac:dyDescent="0.25">
      <c r="A243" s="60" t="s">
        <v>813</v>
      </c>
      <c r="B243" s="6" t="s">
        <v>814</v>
      </c>
      <c r="C243" s="2" t="s">
        <v>1872</v>
      </c>
      <c r="D243" s="2" t="s">
        <v>815</v>
      </c>
      <c r="E243" s="2" t="s">
        <v>103</v>
      </c>
      <c r="F243" s="2" t="s">
        <v>64</v>
      </c>
      <c r="G243" s="2" t="s">
        <v>14</v>
      </c>
      <c r="H243" s="5">
        <v>44958</v>
      </c>
      <c r="I243" t="str">
        <f ca="1">IF(COUNTIFS(Creditos!B:B,A243,Creditos!R:R,"En mora")&gt;0,"Sí","No")</f>
        <v>No</v>
      </c>
      <c r="J243" t="str">
        <f>IF(COUNTIF(Creditos!B:B,A243)&gt;0,"Sí","No")</f>
        <v>Sí</v>
      </c>
      <c r="K243" t="str">
        <f>IF(COUNTIF(Depositos!B:B,A243)&gt;0,"Sí","No")</f>
        <v>Sí</v>
      </c>
    </row>
    <row r="244" spans="1:11" x14ac:dyDescent="0.25">
      <c r="A244" s="60" t="s">
        <v>816</v>
      </c>
      <c r="B244" s="6" t="s">
        <v>817</v>
      </c>
      <c r="C244" s="2" t="s">
        <v>1873</v>
      </c>
      <c r="D244" s="2" t="s">
        <v>818</v>
      </c>
      <c r="E244" s="2" t="s">
        <v>144</v>
      </c>
      <c r="F244" s="2" t="s">
        <v>64</v>
      </c>
      <c r="G244" s="2" t="s">
        <v>21</v>
      </c>
      <c r="H244" s="5">
        <v>44717</v>
      </c>
      <c r="I244" t="str">
        <f>IF(COUNTIFS(Creditos!B:B,A244,Creditos!R:R,"En mora")&gt;0,"Sí","No")</f>
        <v>Sí</v>
      </c>
      <c r="J244" t="str">
        <f>IF(COUNTIF(Creditos!B:B,A244)&gt;0,"Sí","No")</f>
        <v>Sí</v>
      </c>
      <c r="K244" t="str">
        <f>IF(COUNTIF(Depositos!B:B,A244)&gt;0,"Sí","No")</f>
        <v>Sí</v>
      </c>
    </row>
    <row r="245" spans="1:11" x14ac:dyDescent="0.25">
      <c r="A245" s="60" t="s">
        <v>819</v>
      </c>
      <c r="B245" s="6" t="s">
        <v>820</v>
      </c>
      <c r="C245" s="2" t="s">
        <v>1874</v>
      </c>
      <c r="D245" s="2" t="s">
        <v>821</v>
      </c>
      <c r="E245" s="2" t="s">
        <v>79</v>
      </c>
      <c r="F245" s="2" t="s">
        <v>64</v>
      </c>
      <c r="G245" s="2" t="s">
        <v>17</v>
      </c>
      <c r="H245" s="5">
        <v>45935</v>
      </c>
      <c r="I245" t="str">
        <f>IF(COUNTIFS(Creditos!B:B,A245,Creditos!R:R,"En mora")&gt;0,"Sí","No")</f>
        <v>No</v>
      </c>
      <c r="J245" t="str">
        <f>IF(COUNTIF(Creditos!B:B,A245)&gt;0,"Sí","No")</f>
        <v>No</v>
      </c>
      <c r="K245" t="str">
        <f>IF(COUNTIF(Depositos!B:B,A245)&gt;0,"Sí","No")</f>
        <v>Sí</v>
      </c>
    </row>
    <row r="246" spans="1:11" x14ac:dyDescent="0.25">
      <c r="A246" s="60" t="s">
        <v>822</v>
      </c>
      <c r="B246" s="6" t="s">
        <v>823</v>
      </c>
      <c r="C246" s="2" t="s">
        <v>1875</v>
      </c>
      <c r="D246" s="2" t="s">
        <v>824</v>
      </c>
      <c r="E246" s="2" t="s">
        <v>7</v>
      </c>
      <c r="F246" s="2" t="s">
        <v>64</v>
      </c>
      <c r="G246" s="2" t="s">
        <v>3</v>
      </c>
      <c r="H246" s="5">
        <v>44746</v>
      </c>
      <c r="I246" t="str">
        <f ca="1">IF(COUNTIFS(Creditos!B:B,A246,Creditos!R:R,"En mora")&gt;0,"Sí","No")</f>
        <v>No</v>
      </c>
      <c r="J246" t="str">
        <f>IF(COUNTIF(Creditos!B:B,A246)&gt;0,"Sí","No")</f>
        <v>Sí</v>
      </c>
      <c r="K246" t="str">
        <f>IF(COUNTIF(Depositos!B:B,A246)&gt;0,"Sí","No")</f>
        <v>Sí</v>
      </c>
    </row>
    <row r="247" spans="1:11" x14ac:dyDescent="0.25">
      <c r="A247" s="60" t="s">
        <v>825</v>
      </c>
      <c r="B247" s="6" t="s">
        <v>826</v>
      </c>
      <c r="C247" s="2" t="s">
        <v>1876</v>
      </c>
      <c r="D247" s="2" t="s">
        <v>827</v>
      </c>
      <c r="E247" s="2" t="s">
        <v>119</v>
      </c>
      <c r="F247" s="2" t="s">
        <v>64</v>
      </c>
      <c r="G247" s="2" t="s">
        <v>17</v>
      </c>
      <c r="H247" s="5">
        <v>45699</v>
      </c>
      <c r="I247" t="str">
        <f ca="1">IF(COUNTIFS(Creditos!B:B,A247,Creditos!R:R,"En mora")&gt;0,"Sí","No")</f>
        <v>No</v>
      </c>
      <c r="J247" t="str">
        <f>IF(COUNTIF(Creditos!B:B,A247)&gt;0,"Sí","No")</f>
        <v>Sí</v>
      </c>
      <c r="K247" t="str">
        <f>IF(COUNTIF(Depositos!B:B,A247)&gt;0,"Sí","No")</f>
        <v>Sí</v>
      </c>
    </row>
    <row r="248" spans="1:11" x14ac:dyDescent="0.25">
      <c r="A248" s="60" t="s">
        <v>828</v>
      </c>
      <c r="B248" s="6" t="s">
        <v>829</v>
      </c>
      <c r="C248" s="2" t="s">
        <v>1877</v>
      </c>
      <c r="D248" s="2" t="s">
        <v>830</v>
      </c>
      <c r="E248" s="2" t="s">
        <v>111</v>
      </c>
      <c r="F248" s="2" t="s">
        <v>64</v>
      </c>
      <c r="G248" s="2" t="s">
        <v>19</v>
      </c>
      <c r="H248" s="5">
        <v>45269</v>
      </c>
      <c r="I248" t="str">
        <f ca="1">IF(COUNTIFS(Creditos!B:B,A248,Creditos!R:R,"En mora")&gt;0,"Sí","No")</f>
        <v>No</v>
      </c>
      <c r="J248" t="str">
        <f>IF(COUNTIF(Creditos!B:B,A248)&gt;0,"Sí","No")</f>
        <v>Sí</v>
      </c>
      <c r="K248" t="str">
        <f>IF(COUNTIF(Depositos!B:B,A248)&gt;0,"Sí","No")</f>
        <v>No</v>
      </c>
    </row>
    <row r="249" spans="1:11" x14ac:dyDescent="0.25">
      <c r="A249" s="60" t="s">
        <v>831</v>
      </c>
      <c r="B249" s="6" t="s">
        <v>832</v>
      </c>
      <c r="C249" s="2" t="s">
        <v>1878</v>
      </c>
      <c r="D249" s="2" t="s">
        <v>833</v>
      </c>
      <c r="E249" s="2" t="s">
        <v>300</v>
      </c>
      <c r="F249" s="2" t="s">
        <v>64</v>
      </c>
      <c r="G249" s="2" t="s">
        <v>8</v>
      </c>
      <c r="H249" s="5">
        <v>45811</v>
      </c>
      <c r="I249" t="str">
        <f ca="1">IF(COUNTIFS(Creditos!B:B,A249,Creditos!R:R,"En mora")&gt;0,"Sí","No")</f>
        <v>No</v>
      </c>
      <c r="J249" t="str">
        <f>IF(COUNTIF(Creditos!B:B,A249)&gt;0,"Sí","No")</f>
        <v>Sí</v>
      </c>
      <c r="K249" t="str">
        <f>IF(COUNTIF(Depositos!B:B,A249)&gt;0,"Sí","No")</f>
        <v>No</v>
      </c>
    </row>
    <row r="250" spans="1:11" x14ac:dyDescent="0.25">
      <c r="A250" s="60" t="s">
        <v>834</v>
      </c>
      <c r="B250" s="6" t="s">
        <v>835</v>
      </c>
      <c r="C250" s="2" t="s">
        <v>1879</v>
      </c>
      <c r="D250" s="2" t="s">
        <v>836</v>
      </c>
      <c r="E250" s="2" t="s">
        <v>275</v>
      </c>
      <c r="F250" s="2" t="s">
        <v>64</v>
      </c>
      <c r="G250" s="2" t="s">
        <v>11</v>
      </c>
      <c r="H250" s="5">
        <v>44722</v>
      </c>
      <c r="I250" t="str">
        <f ca="1">IF(COUNTIFS(Creditos!B:B,A250,Creditos!R:R,"En mora")&gt;0,"Sí","No")</f>
        <v>No</v>
      </c>
      <c r="J250" t="str">
        <f>IF(COUNTIF(Creditos!B:B,A250)&gt;0,"Sí","No")</f>
        <v>Sí</v>
      </c>
      <c r="K250" t="str">
        <f>IF(COUNTIF(Depositos!B:B,A250)&gt;0,"Sí","No")</f>
        <v>Sí</v>
      </c>
    </row>
    <row r="251" spans="1:11" x14ac:dyDescent="0.25">
      <c r="A251" s="60" t="s">
        <v>837</v>
      </c>
      <c r="B251" s="6" t="s">
        <v>838</v>
      </c>
      <c r="C251" s="2" t="s">
        <v>1880</v>
      </c>
      <c r="D251" s="2" t="s">
        <v>839</v>
      </c>
      <c r="E251" s="2" t="s">
        <v>79</v>
      </c>
      <c r="F251" s="2" t="s">
        <v>64</v>
      </c>
      <c r="G251" s="2" t="s">
        <v>17</v>
      </c>
      <c r="H251" s="5">
        <v>45209</v>
      </c>
      <c r="I251" t="str">
        <f ca="1">IF(COUNTIFS(Creditos!B:B,A251,Creditos!R:R,"En mora")&gt;0,"Sí","No")</f>
        <v>No</v>
      </c>
      <c r="J251" t="str">
        <f>IF(COUNTIF(Creditos!B:B,A251)&gt;0,"Sí","No")</f>
        <v>Sí</v>
      </c>
      <c r="K251" t="str">
        <f>IF(COUNTIF(Depositos!B:B,A251)&gt;0,"Sí","No")</f>
        <v>Sí</v>
      </c>
    </row>
  </sheetData>
  <phoneticPr fontId="4" type="noConversion"/>
  <pageMargins left="0.75" right="0.75" top="1" bottom="1" header="0.5" footer="0.5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9751-FB95-4065-B740-04409F886498}">
  <sheetPr codeName="Hoja7"/>
  <dimension ref="A1:S401"/>
  <sheetViews>
    <sheetView topLeftCell="K1" zoomScale="73" zoomScaleNormal="73" workbookViewId="0">
      <selection activeCell="Y26" sqref="Y26"/>
    </sheetView>
  </sheetViews>
  <sheetFormatPr baseColWidth="10" defaultRowHeight="15" x14ac:dyDescent="0.25"/>
  <cols>
    <col min="1" max="1" width="12.140625" customWidth="1"/>
    <col min="3" max="3" width="15.42578125" customWidth="1"/>
    <col min="4" max="4" width="12" customWidth="1"/>
    <col min="5" max="5" width="19.28515625" customWidth="1"/>
    <col min="6" max="6" width="22.28515625" customWidth="1"/>
    <col min="7" max="7" width="14.140625" bestFit="1" customWidth="1"/>
    <col min="8" max="8" width="14.140625" customWidth="1"/>
    <col min="9" max="10" width="16.42578125" customWidth="1"/>
    <col min="11" max="11" width="19" customWidth="1"/>
    <col min="12" max="12" width="25.42578125" bestFit="1" customWidth="1"/>
    <col min="13" max="13" width="15.7109375" customWidth="1"/>
    <col min="14" max="14" width="13.5703125" customWidth="1"/>
    <col min="15" max="15" width="14.85546875" customWidth="1"/>
    <col min="16" max="17" width="17.7109375" customWidth="1"/>
    <col min="19" max="19" width="24.85546875" bestFit="1" customWidth="1"/>
  </cols>
  <sheetData>
    <row r="1" spans="1:19" x14ac:dyDescent="0.25">
      <c r="A1" s="8" t="s">
        <v>1256</v>
      </c>
      <c r="B1" s="8" t="s">
        <v>54</v>
      </c>
      <c r="C1" s="8" t="s">
        <v>24</v>
      </c>
      <c r="D1" s="8" t="s">
        <v>0</v>
      </c>
      <c r="E1" s="8" t="s">
        <v>840</v>
      </c>
      <c r="F1" s="8" t="s">
        <v>841</v>
      </c>
      <c r="G1" s="8" t="s">
        <v>842</v>
      </c>
      <c r="H1" s="8" t="s">
        <v>1245</v>
      </c>
      <c r="I1" s="8" t="s">
        <v>843</v>
      </c>
      <c r="J1" s="8" t="s">
        <v>1244</v>
      </c>
      <c r="K1" s="8" t="s">
        <v>1246</v>
      </c>
      <c r="L1" s="8" t="s">
        <v>1589</v>
      </c>
      <c r="M1" s="8" t="s">
        <v>1247</v>
      </c>
      <c r="N1" s="8" t="s">
        <v>1249</v>
      </c>
      <c r="O1" s="8" t="s">
        <v>1250</v>
      </c>
      <c r="P1" s="8" t="s">
        <v>1248</v>
      </c>
      <c r="Q1" s="8" t="s">
        <v>1576</v>
      </c>
      <c r="R1" s="8" t="s">
        <v>1254</v>
      </c>
      <c r="S1" s="8" t="s">
        <v>1588</v>
      </c>
    </row>
    <row r="2" spans="1:19" x14ac:dyDescent="0.25">
      <c r="A2" t="s">
        <v>844</v>
      </c>
      <c r="B2" t="s">
        <v>92</v>
      </c>
      <c r="C2" s="8" t="s">
        <v>39</v>
      </c>
      <c r="D2" s="8" t="str">
        <f>_xlfn.XLOOKUP(B2,Clientes!A:A,Clientes!G:G,"No encontrado",0)</f>
        <v>AG01</v>
      </c>
      <c r="E2" s="9">
        <v>45716</v>
      </c>
      <c r="F2" s="11">
        <v>6896</v>
      </c>
      <c r="G2" s="10">
        <v>0.31254200328967358</v>
      </c>
      <c r="H2" s="10">
        <f>(1+G2)^(1/12)-1</f>
        <v>2.2922585174515842E-2</v>
      </c>
      <c r="I2">
        <v>11</v>
      </c>
      <c r="J2" s="12">
        <f>PMT(H2,I2,-F2,,)</f>
        <v>716.38483151100957</v>
      </c>
      <c r="K2">
        <f t="shared" ref="K2:K33" ca="1" si="0">IF(N2="SI",O2,MIN(DATEDIF(E2,TODAY(),"m"),I2))</f>
        <v>11</v>
      </c>
      <c r="L2">
        <f ca="1">MIN(DATEDIF(Tabla1[[#This Row],[FechaDesembolso]],TODAY(),"m"),Tabla1[[#This Row],[Plazos (Meses)]])</f>
        <v>11</v>
      </c>
      <c r="M2">
        <f ca="1">I2-K2</f>
        <v>0</v>
      </c>
      <c r="N2" s="8" t="s">
        <v>1251</v>
      </c>
      <c r="O2" s="8" t="s">
        <v>1253</v>
      </c>
      <c r="P2" s="13">
        <f t="shared" ref="P2:P3" ca="1" si="1">IF(M2=0,0,PV(H2,I2,-J2))</f>
        <v>0</v>
      </c>
      <c r="Q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" s="8" t="str">
        <f ca="1">IF(N2="SI","En mora",IF(K2&gt;=I2,"Cancelado","Vigente"))</f>
        <v>Cancelado</v>
      </c>
      <c r="S2" t="str">
        <f ca="1">IF(Tabla1[[#This Row],[En Mora]]="No","",DATEDIF((EDATE(Tabla1[[#This Row],[FechaDesembolso]],Tabla1[[#This Row],[Mes de Mora]])),TODAY(),"d"))</f>
        <v/>
      </c>
    </row>
    <row r="3" spans="1:19" x14ac:dyDescent="0.25">
      <c r="A3" t="s">
        <v>845</v>
      </c>
      <c r="B3" t="s">
        <v>802</v>
      </c>
      <c r="C3" s="8" t="s">
        <v>39</v>
      </c>
      <c r="D3" s="8" t="str">
        <f>_xlfn.XLOOKUP(B3,Clientes!A:A,Clientes!G:G,"No encontrado",0)</f>
        <v>AG06</v>
      </c>
      <c r="E3" s="9">
        <v>45545</v>
      </c>
      <c r="F3" s="11">
        <v>8641</v>
      </c>
      <c r="G3" s="10">
        <v>0.23695868938147718</v>
      </c>
      <c r="H3" s="10">
        <f t="shared" ref="H3:H66" si="2">(1+G3)^(1/12)-1</f>
        <v>1.7879262138211116E-2</v>
      </c>
      <c r="I3">
        <v>10</v>
      </c>
      <c r="J3" s="12">
        <f t="shared" ref="J3:J66" si="3">PMT(H3,I3,-F3,,)</f>
        <v>951.32961891640673</v>
      </c>
      <c r="K3">
        <f t="shared" ca="1" si="0"/>
        <v>10</v>
      </c>
      <c r="L3">
        <f ca="1">MIN(DATEDIF(Tabla1[[#This Row],[FechaDesembolso]],TODAY(),"m"),Tabla1[[#This Row],[Plazos (Meses)]])</f>
        <v>10</v>
      </c>
      <c r="M3">
        <f t="shared" ref="M3:M66" ca="1" si="4">I3-K3</f>
        <v>0</v>
      </c>
      <c r="N3" s="8" t="s">
        <v>1251</v>
      </c>
      <c r="O3" s="8" t="s">
        <v>1253</v>
      </c>
      <c r="P3" s="13">
        <f t="shared" ca="1" si="1"/>
        <v>0</v>
      </c>
      <c r="Q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" s="8" t="str">
        <f t="shared" ref="R3:R66" ca="1" si="5">IF(N3="SI","En mora",IF(K3&gt;=I3,"Cancelado","Vigente"))</f>
        <v>Cancelado</v>
      </c>
      <c r="S3" t="str">
        <f ca="1">IF(Tabla1[[#This Row],[En Mora]]="No","",DATEDIF((EDATE(Tabla1[[#This Row],[FechaDesembolso]],Tabla1[[#This Row],[Mes de Mora]])),TODAY(),"d"))</f>
        <v/>
      </c>
    </row>
    <row r="4" spans="1:19" x14ac:dyDescent="0.25">
      <c r="A4" t="s">
        <v>846</v>
      </c>
      <c r="B4" t="s">
        <v>495</v>
      </c>
      <c r="C4" s="8" t="s">
        <v>39</v>
      </c>
      <c r="D4" s="8" t="str">
        <f>_xlfn.XLOOKUP(B4,Clientes!A:A,Clientes!G:G,"No encontrado",0)</f>
        <v>AG05</v>
      </c>
      <c r="E4" s="9">
        <v>46189</v>
      </c>
      <c r="F4" s="11">
        <v>12900</v>
      </c>
      <c r="G4" s="10">
        <v>0.33381611863120969</v>
      </c>
      <c r="H4" s="10">
        <f t="shared" si="2"/>
        <v>2.4294081813362345E-2</v>
      </c>
      <c r="I4">
        <v>18</v>
      </c>
      <c r="J4" s="12">
        <f t="shared" si="3"/>
        <v>893.28299331617518</v>
      </c>
      <c r="K4">
        <f t="shared" ca="1" si="0"/>
        <v>1</v>
      </c>
      <c r="L4">
        <f ca="1">MIN(DATEDIF(Tabla1[[#This Row],[FechaDesembolso]],TODAY(),"m"),Tabla1[[#This Row],[Plazos (Meses)]])</f>
        <v>1</v>
      </c>
      <c r="M4">
        <f t="shared" ca="1" si="4"/>
        <v>17</v>
      </c>
      <c r="N4" s="8" t="s">
        <v>1251</v>
      </c>
      <c r="O4" s="8" t="s">
        <v>1253</v>
      </c>
      <c r="P4" s="13">
        <f ca="1">IF(M4=0,0,PV(H4,I4,-J4))</f>
        <v>12900.000000000013</v>
      </c>
      <c r="Q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176.61632664950855</v>
      </c>
      <c r="R4" s="8" t="str">
        <f t="shared" ca="1" si="5"/>
        <v>Vigente</v>
      </c>
      <c r="S4" t="str">
        <f ca="1">IF(Tabla1[[#This Row],[En Mora]]="No","",DATEDIF((EDATE(Tabla1[[#This Row],[FechaDesembolso]],Tabla1[[#This Row],[Mes de Mora]])),TODAY(),"d"))</f>
        <v/>
      </c>
    </row>
    <row r="5" spans="1:19" x14ac:dyDescent="0.25">
      <c r="A5" t="s">
        <v>847</v>
      </c>
      <c r="B5" t="s">
        <v>799</v>
      </c>
      <c r="C5" s="8" t="s">
        <v>39</v>
      </c>
      <c r="D5" s="8" t="str">
        <f>_xlfn.XLOOKUP(B5,Clientes!A:A,Clientes!G:G,"No encontrado",0)</f>
        <v>AG04</v>
      </c>
      <c r="E5" s="9">
        <v>45566</v>
      </c>
      <c r="F5" s="11">
        <v>8972</v>
      </c>
      <c r="G5" s="10">
        <v>0.25007806004798405</v>
      </c>
      <c r="H5" s="10">
        <f t="shared" si="2"/>
        <v>1.8774566648281921E-2</v>
      </c>
      <c r="I5">
        <v>16</v>
      </c>
      <c r="J5" s="12">
        <f t="shared" si="3"/>
        <v>654.39171124693257</v>
      </c>
      <c r="K5">
        <f t="shared" ca="1" si="0"/>
        <v>16</v>
      </c>
      <c r="L5">
        <f ca="1">MIN(DATEDIF(Tabla1[[#This Row],[FechaDesembolso]],TODAY(),"m"),Tabla1[[#This Row],[Plazos (Meses)]])</f>
        <v>16</v>
      </c>
      <c r="M5">
        <f t="shared" ca="1" si="4"/>
        <v>0</v>
      </c>
      <c r="N5" s="8" t="s">
        <v>1251</v>
      </c>
      <c r="O5" s="8" t="s">
        <v>1253</v>
      </c>
      <c r="P5" s="13">
        <f t="shared" ref="P5:P68" ca="1" si="6">IF(M5=0,0,PV(H5,I5,-J5))</f>
        <v>0</v>
      </c>
      <c r="Q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5" s="8" t="str">
        <f t="shared" ca="1" si="5"/>
        <v>Cancelado</v>
      </c>
      <c r="S5" t="str">
        <f ca="1">IF(Tabla1[[#This Row],[En Mora]]="No","",DATEDIF((EDATE(Tabla1[[#This Row],[FechaDesembolso]],Tabla1[[#This Row],[Mes de Mora]])),TODAY(),"d"))</f>
        <v/>
      </c>
    </row>
    <row r="6" spans="1:19" x14ac:dyDescent="0.25">
      <c r="A6" t="s">
        <v>848</v>
      </c>
      <c r="B6" t="s">
        <v>159</v>
      </c>
      <c r="C6" s="8" t="s">
        <v>31</v>
      </c>
      <c r="D6" s="8" t="str">
        <f>_xlfn.XLOOKUP(B6,Clientes!A:A,Clientes!G:G,"No encontrado",0)</f>
        <v>AG08</v>
      </c>
      <c r="E6" s="9">
        <v>45065</v>
      </c>
      <c r="F6" s="11">
        <v>12380</v>
      </c>
      <c r="G6" s="10">
        <v>0.40821551985828619</v>
      </c>
      <c r="H6" s="10">
        <f t="shared" si="2"/>
        <v>2.8937732967772467E-2</v>
      </c>
      <c r="I6">
        <v>28</v>
      </c>
      <c r="J6" s="12">
        <f t="shared" si="3"/>
        <v>651.2306285570919</v>
      </c>
      <c r="K6">
        <f t="shared" ca="1" si="0"/>
        <v>28</v>
      </c>
      <c r="L6">
        <f ca="1">MIN(DATEDIF(Tabla1[[#This Row],[FechaDesembolso]],TODAY(),"m"),Tabla1[[#This Row],[Plazos (Meses)]])</f>
        <v>28</v>
      </c>
      <c r="M6">
        <f t="shared" ca="1" si="4"/>
        <v>0</v>
      </c>
      <c r="N6" s="8" t="s">
        <v>1251</v>
      </c>
      <c r="O6" s="8" t="s">
        <v>1253</v>
      </c>
      <c r="P6" s="13">
        <f t="shared" ca="1" si="6"/>
        <v>0</v>
      </c>
      <c r="Q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6" s="8" t="str">
        <f t="shared" ca="1" si="5"/>
        <v>Cancelado</v>
      </c>
      <c r="S6" t="str">
        <f ca="1">IF(Tabla1[[#This Row],[En Mora]]="No","",DATEDIF((EDATE(Tabla1[[#This Row],[FechaDesembolso]],Tabla1[[#This Row],[Mes de Mora]])),TODAY(),"d"))</f>
        <v/>
      </c>
    </row>
    <row r="7" spans="1:19" x14ac:dyDescent="0.25">
      <c r="A7" t="s">
        <v>849</v>
      </c>
      <c r="B7" t="s">
        <v>69</v>
      </c>
      <c r="C7" s="8" t="s">
        <v>35</v>
      </c>
      <c r="D7" s="8" t="str">
        <f>_xlfn.XLOOKUP(B7,Clientes!A:A,Clientes!G:G,"No encontrado",0)</f>
        <v>AG01</v>
      </c>
      <c r="E7" s="9">
        <v>45748</v>
      </c>
      <c r="F7" s="11">
        <v>80558</v>
      </c>
      <c r="G7" s="10">
        <v>0.28977336419028182</v>
      </c>
      <c r="H7" s="10">
        <f t="shared" si="2"/>
        <v>2.1431978277951069E-2</v>
      </c>
      <c r="I7">
        <v>57</v>
      </c>
      <c r="J7" s="12">
        <f t="shared" si="3"/>
        <v>2461.4615380417181</v>
      </c>
      <c r="K7">
        <f t="shared" ca="1" si="0"/>
        <v>16</v>
      </c>
      <c r="L7">
        <f ca="1">MIN(DATEDIF(Tabla1[[#This Row],[FechaDesembolso]],TODAY(),"m"),Tabla1[[#This Row],[Plazos (Meses)]])</f>
        <v>16</v>
      </c>
      <c r="M7">
        <f t="shared" ca="1" si="4"/>
        <v>41</v>
      </c>
      <c r="N7" s="8" t="s">
        <v>1251</v>
      </c>
      <c r="O7" s="8" t="s">
        <v>1253</v>
      </c>
      <c r="P7" s="13">
        <f t="shared" ca="1" si="6"/>
        <v>80557.999999999956</v>
      </c>
      <c r="Q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16770.612678842928</v>
      </c>
      <c r="R7" s="8" t="str">
        <f t="shared" ca="1" si="5"/>
        <v>Vigente</v>
      </c>
      <c r="S7" t="str">
        <f ca="1">IF(Tabla1[[#This Row],[En Mora]]="No","",DATEDIF((EDATE(Tabla1[[#This Row],[FechaDesembolso]],Tabla1[[#This Row],[Mes de Mora]])),TODAY(),"d"))</f>
        <v/>
      </c>
    </row>
    <row r="8" spans="1:19" x14ac:dyDescent="0.25">
      <c r="A8" t="s">
        <v>850</v>
      </c>
      <c r="B8" t="s">
        <v>729</v>
      </c>
      <c r="C8" s="8" t="s">
        <v>35</v>
      </c>
      <c r="D8" s="8" t="str">
        <f>_xlfn.XLOOKUP(B8,Clientes!A:A,Clientes!G:G,"No encontrado",0)</f>
        <v>AG02</v>
      </c>
      <c r="E8" s="9">
        <v>46019</v>
      </c>
      <c r="F8" s="11">
        <v>24881</v>
      </c>
      <c r="G8" s="10">
        <v>0.33701776992477567</v>
      </c>
      <c r="H8" s="10">
        <f t="shared" si="2"/>
        <v>2.4498747085357708E-2</v>
      </c>
      <c r="I8">
        <v>43</v>
      </c>
      <c r="J8" s="12">
        <f t="shared" si="3"/>
        <v>942.39940363422329</v>
      </c>
      <c r="K8">
        <f t="shared" ca="1" si="0"/>
        <v>7</v>
      </c>
      <c r="L8">
        <f ca="1">MIN(DATEDIF(Tabla1[[#This Row],[FechaDesembolso]],TODAY(),"m"),Tabla1[[#This Row],[Plazos (Meses)]])</f>
        <v>7</v>
      </c>
      <c r="M8">
        <f t="shared" ca="1" si="4"/>
        <v>36</v>
      </c>
      <c r="N8" s="8" t="s">
        <v>1251</v>
      </c>
      <c r="O8" s="8" t="s">
        <v>1253</v>
      </c>
      <c r="P8" s="13">
        <f t="shared" ca="1" si="6"/>
        <v>24881</v>
      </c>
      <c r="Q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2546.4004766023536</v>
      </c>
      <c r="R8" s="8" t="str">
        <f t="shared" ca="1" si="5"/>
        <v>Vigente</v>
      </c>
      <c r="S8" t="str">
        <f ca="1">IF(Tabla1[[#This Row],[En Mora]]="No","",DATEDIF((EDATE(Tabla1[[#This Row],[FechaDesembolso]],Tabla1[[#This Row],[Mes de Mora]])),TODAY(),"d"))</f>
        <v/>
      </c>
    </row>
    <row r="9" spans="1:19" x14ac:dyDescent="0.25">
      <c r="A9" t="s">
        <v>851</v>
      </c>
      <c r="B9" t="s">
        <v>441</v>
      </c>
      <c r="C9" s="8" t="s">
        <v>33</v>
      </c>
      <c r="D9" s="8" t="str">
        <f>_xlfn.XLOOKUP(B9,Clientes!A:A,Clientes!G:G,"No encontrado",0)</f>
        <v>AG03</v>
      </c>
      <c r="E9" s="9">
        <v>46207</v>
      </c>
      <c r="F9" s="11">
        <v>46457</v>
      </c>
      <c r="G9" s="10">
        <v>0.41910273013537203</v>
      </c>
      <c r="H9" s="10">
        <f t="shared" si="2"/>
        <v>2.9598306661947404E-2</v>
      </c>
      <c r="I9">
        <v>12</v>
      </c>
      <c r="J9" s="12">
        <f t="shared" si="3"/>
        <v>4655.9828566199458</v>
      </c>
      <c r="K9">
        <f t="shared" ca="1" si="0"/>
        <v>1</v>
      </c>
      <c r="L9">
        <f ca="1">MIN(DATEDIF(Tabla1[[#This Row],[FechaDesembolso]],TODAY(),"m"),Tabla1[[#This Row],[Plazos (Meses)]])</f>
        <v>1</v>
      </c>
      <c r="M9">
        <f t="shared" ca="1" si="4"/>
        <v>11</v>
      </c>
      <c r="N9" s="8" t="s">
        <v>1251</v>
      </c>
      <c r="O9" s="8" t="s">
        <v>1253</v>
      </c>
      <c r="P9" s="13">
        <f t="shared" ca="1" si="6"/>
        <v>46456.99999999992</v>
      </c>
      <c r="Q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784.56618995327881</v>
      </c>
      <c r="R9" s="8" t="str">
        <f t="shared" ca="1" si="5"/>
        <v>Vigente</v>
      </c>
      <c r="S9" t="str">
        <f ca="1">IF(Tabla1[[#This Row],[En Mora]]="No","",DATEDIF((EDATE(Tabla1[[#This Row],[FechaDesembolso]],Tabla1[[#This Row],[Mes de Mora]])),TODAY(),"d"))</f>
        <v/>
      </c>
    </row>
    <row r="10" spans="1:19" x14ac:dyDescent="0.25">
      <c r="A10" t="s">
        <v>852</v>
      </c>
      <c r="B10" t="s">
        <v>639</v>
      </c>
      <c r="C10" s="8" t="s">
        <v>33</v>
      </c>
      <c r="D10" s="8" t="str">
        <f>_xlfn.XLOOKUP(B10,Clientes!A:A,Clientes!G:G,"No encontrado",0)</f>
        <v>AG07</v>
      </c>
      <c r="E10" s="9">
        <v>46124</v>
      </c>
      <c r="F10" s="11">
        <v>7231</v>
      </c>
      <c r="G10" s="10">
        <v>0.31090565759893024</v>
      </c>
      <c r="H10" s="10">
        <f t="shared" si="2"/>
        <v>2.2816251296566392E-2</v>
      </c>
      <c r="I10">
        <v>29</v>
      </c>
      <c r="J10" s="12">
        <f t="shared" si="3"/>
        <v>343.60221199886598</v>
      </c>
      <c r="K10">
        <f t="shared" ca="1" si="0"/>
        <v>4</v>
      </c>
      <c r="L10">
        <f ca="1">MIN(DATEDIF(Tabla1[[#This Row],[FechaDesembolso]],TODAY(),"m"),Tabla1[[#This Row],[Plazos (Meses)]])</f>
        <v>4</v>
      </c>
      <c r="M10">
        <f t="shared" ca="1" si="4"/>
        <v>25</v>
      </c>
      <c r="N10" s="8" t="s">
        <v>1251</v>
      </c>
      <c r="O10" s="8" t="s">
        <v>1253</v>
      </c>
      <c r="P10" s="13">
        <f t="shared" ca="1" si="6"/>
        <v>7230.9999999999991</v>
      </c>
      <c r="Q1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377.02953765063637</v>
      </c>
      <c r="R10" s="8" t="str">
        <f t="shared" ca="1" si="5"/>
        <v>Vigente</v>
      </c>
      <c r="S10" t="str">
        <f ca="1">IF(Tabla1[[#This Row],[En Mora]]="No","",DATEDIF((EDATE(Tabla1[[#This Row],[FechaDesembolso]],Tabla1[[#This Row],[Mes de Mora]])),TODAY(),"d"))</f>
        <v/>
      </c>
    </row>
    <row r="11" spans="1:19" x14ac:dyDescent="0.25">
      <c r="A11" t="s">
        <v>853</v>
      </c>
      <c r="B11" t="s">
        <v>254</v>
      </c>
      <c r="C11" s="8" t="s">
        <v>33</v>
      </c>
      <c r="D11" s="8" t="str">
        <f>_xlfn.XLOOKUP(B11,Clientes!A:A,Clientes!G:G,"No encontrado",0)</f>
        <v>AG02</v>
      </c>
      <c r="E11" s="9">
        <v>46036</v>
      </c>
      <c r="F11" s="11">
        <v>6387</v>
      </c>
      <c r="G11" s="10">
        <v>0.37199555459622724</v>
      </c>
      <c r="H11" s="10">
        <f t="shared" si="2"/>
        <v>2.6705902287239347E-2</v>
      </c>
      <c r="I11">
        <v>7</v>
      </c>
      <c r="J11" s="12">
        <f t="shared" si="3"/>
        <v>1012.4648430497772</v>
      </c>
      <c r="K11">
        <f t="shared" ca="1" si="0"/>
        <v>6</v>
      </c>
      <c r="L11">
        <f ca="1">MIN(DATEDIF(Tabla1[[#This Row],[FechaDesembolso]],TODAY(),"m"),Tabla1[[#This Row],[Plazos (Meses)]])</f>
        <v>6</v>
      </c>
      <c r="M11">
        <f t="shared" ca="1" si="4"/>
        <v>1</v>
      </c>
      <c r="N11" s="8" t="s">
        <v>1251</v>
      </c>
      <c r="O11" s="8" t="s">
        <v>1253</v>
      </c>
      <c r="P11" s="13">
        <f t="shared" ca="1" si="6"/>
        <v>6387.0000000000018</v>
      </c>
      <c r="Q1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600.21762972723445</v>
      </c>
      <c r="R11" s="8" t="str">
        <f t="shared" ca="1" si="5"/>
        <v>Vigente</v>
      </c>
      <c r="S11" t="str">
        <f ca="1">IF(Tabla1[[#This Row],[En Mora]]="No","",DATEDIF((EDATE(Tabla1[[#This Row],[FechaDesembolso]],Tabla1[[#This Row],[Mes de Mora]])),TODAY(),"d"))</f>
        <v/>
      </c>
    </row>
    <row r="12" spans="1:19" x14ac:dyDescent="0.25">
      <c r="A12" t="s">
        <v>854</v>
      </c>
      <c r="B12" t="s">
        <v>166</v>
      </c>
      <c r="C12" s="8" t="s">
        <v>35</v>
      </c>
      <c r="D12" s="8" t="str">
        <f>_xlfn.XLOOKUP(B12,Clientes!A:A,Clientes!G:G,"No encontrado",0)</f>
        <v>AG06</v>
      </c>
      <c r="E12" s="9">
        <v>46035</v>
      </c>
      <c r="F12" s="11">
        <v>53903</v>
      </c>
      <c r="G12" s="10">
        <v>0.28000416173121484</v>
      </c>
      <c r="H12" s="10">
        <f t="shared" si="2"/>
        <v>2.0785005066670692E-2</v>
      </c>
      <c r="I12">
        <v>13</v>
      </c>
      <c r="J12" s="12">
        <f t="shared" si="3"/>
        <v>4774.4544981050631</v>
      </c>
      <c r="K12">
        <f t="shared" ca="1" si="0"/>
        <v>1</v>
      </c>
      <c r="L12">
        <f ca="1">MIN(DATEDIF(Tabla1[[#This Row],[FechaDesembolso]],TODAY(),"m"),Tabla1[[#This Row],[Plazos (Meses)]])</f>
        <v>6</v>
      </c>
      <c r="M12">
        <f t="shared" ca="1" si="4"/>
        <v>12</v>
      </c>
      <c r="N12" s="8" t="s">
        <v>1252</v>
      </c>
      <c r="O12" s="8">
        <v>1</v>
      </c>
      <c r="P12" s="13">
        <f t="shared" ca="1" si="6"/>
        <v>53903.000000000036</v>
      </c>
      <c r="Q1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628.06988272044748</v>
      </c>
      <c r="R12" s="8" t="str">
        <f t="shared" si="5"/>
        <v>En mora</v>
      </c>
      <c r="S12">
        <f ca="1">IF(Tabla1[[#This Row],[En Mora]]="No","",DATEDIF((EDATE(Tabla1[[#This Row],[FechaDesembolso]],Tabla1[[#This Row],[Mes de Mora]])),TODAY(),"d"))</f>
        <v>180</v>
      </c>
    </row>
    <row r="13" spans="1:19" x14ac:dyDescent="0.25">
      <c r="A13" t="s">
        <v>855</v>
      </c>
      <c r="B13" t="s">
        <v>263</v>
      </c>
      <c r="C13" s="8" t="s">
        <v>33</v>
      </c>
      <c r="D13" s="8" t="str">
        <f>_xlfn.XLOOKUP(B13,Clientes!A:A,Clientes!G:G,"No encontrado",0)</f>
        <v>AG07</v>
      </c>
      <c r="E13" s="9">
        <v>45849</v>
      </c>
      <c r="F13" s="11">
        <v>22972</v>
      </c>
      <c r="G13" s="10">
        <v>0.3257187633833552</v>
      </c>
      <c r="H13" s="10">
        <f t="shared" si="2"/>
        <v>2.3774442414101093E-2</v>
      </c>
      <c r="I13">
        <v>41</v>
      </c>
      <c r="J13" s="12">
        <f t="shared" si="3"/>
        <v>883.18064850100814</v>
      </c>
      <c r="K13">
        <f t="shared" ca="1" si="0"/>
        <v>13</v>
      </c>
      <c r="L13">
        <f ca="1">MIN(DATEDIF(Tabla1[[#This Row],[FechaDesembolso]],TODAY(),"m"),Tabla1[[#This Row],[Plazos (Meses)]])</f>
        <v>13</v>
      </c>
      <c r="M13">
        <f t="shared" ca="1" si="4"/>
        <v>28</v>
      </c>
      <c r="N13" s="8" t="s">
        <v>1251</v>
      </c>
      <c r="O13" s="8" t="s">
        <v>1253</v>
      </c>
      <c r="P13" s="13">
        <f t="shared" ca="1" si="6"/>
        <v>22972.000000000022</v>
      </c>
      <c r="Q1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4197.5435524643262</v>
      </c>
      <c r="R13" s="8" t="str">
        <f t="shared" ca="1" si="5"/>
        <v>Vigente</v>
      </c>
      <c r="S13" t="str">
        <f ca="1">IF(Tabla1[[#This Row],[En Mora]]="No","",DATEDIF((EDATE(Tabla1[[#This Row],[FechaDesembolso]],Tabla1[[#This Row],[Mes de Mora]])),TODAY(),"d"))</f>
        <v/>
      </c>
    </row>
    <row r="14" spans="1:19" x14ac:dyDescent="0.25">
      <c r="A14" t="s">
        <v>856</v>
      </c>
      <c r="B14" t="s">
        <v>834</v>
      </c>
      <c r="C14" s="8" t="s">
        <v>31</v>
      </c>
      <c r="D14" s="8" t="str">
        <f>_xlfn.XLOOKUP(B14,Clientes!A:A,Clientes!G:G,"No encontrado",0)</f>
        <v>AG04</v>
      </c>
      <c r="E14" s="9">
        <v>45893</v>
      </c>
      <c r="F14" s="11">
        <v>9837</v>
      </c>
      <c r="G14" s="10">
        <v>0.36565073271471316</v>
      </c>
      <c r="H14" s="10">
        <f t="shared" si="2"/>
        <v>2.6309392592427372E-2</v>
      </c>
      <c r="I14">
        <v>34</v>
      </c>
      <c r="J14" s="12">
        <f t="shared" si="3"/>
        <v>441.31563241937369</v>
      </c>
      <c r="K14">
        <f t="shared" ca="1" si="0"/>
        <v>11</v>
      </c>
      <c r="L14">
        <f ca="1">MIN(DATEDIF(Tabla1[[#This Row],[FechaDesembolso]],TODAY(),"m"),Tabla1[[#This Row],[Plazos (Meses)]])</f>
        <v>11</v>
      </c>
      <c r="M14">
        <f t="shared" ca="1" si="4"/>
        <v>23</v>
      </c>
      <c r="N14" s="8" t="s">
        <v>1251</v>
      </c>
      <c r="O14" s="8" t="s">
        <v>1253</v>
      </c>
      <c r="P14" s="13">
        <f t="shared" ca="1" si="6"/>
        <v>9837.0000000000073</v>
      </c>
      <c r="Q1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1671.9131330836985</v>
      </c>
      <c r="R14" s="8" t="str">
        <f t="shared" ca="1" si="5"/>
        <v>Vigente</v>
      </c>
      <c r="S14" t="str">
        <f ca="1">IF(Tabla1[[#This Row],[En Mora]]="No","",DATEDIF((EDATE(Tabla1[[#This Row],[FechaDesembolso]],Tabla1[[#This Row],[Mes de Mora]])),TODAY(),"d"))</f>
        <v/>
      </c>
    </row>
    <row r="15" spans="1:19" x14ac:dyDescent="0.25">
      <c r="A15" t="s">
        <v>857</v>
      </c>
      <c r="B15" t="s">
        <v>768</v>
      </c>
      <c r="C15" s="8" t="s">
        <v>33</v>
      </c>
      <c r="D15" s="8" t="str">
        <f>_xlfn.XLOOKUP(B15,Clientes!A:A,Clientes!G:G,"No encontrado",0)</f>
        <v>AG03</v>
      </c>
      <c r="E15" s="9">
        <v>46174</v>
      </c>
      <c r="F15" s="11">
        <v>14060</v>
      </c>
      <c r="G15" s="10">
        <v>0.37776402044309076</v>
      </c>
      <c r="H15" s="10">
        <f t="shared" si="2"/>
        <v>2.706493744047167E-2</v>
      </c>
      <c r="I15">
        <v>19</v>
      </c>
      <c r="J15" s="12">
        <f t="shared" si="3"/>
        <v>956.25748809910851</v>
      </c>
      <c r="K15">
        <f t="shared" ca="1" si="0"/>
        <v>2</v>
      </c>
      <c r="L15">
        <f ca="1">MIN(DATEDIF(Tabla1[[#This Row],[FechaDesembolso]],TODAY(),"m"),Tabla1[[#This Row],[Plazos (Meses)]])</f>
        <v>2</v>
      </c>
      <c r="M15">
        <f t="shared" ca="1" si="4"/>
        <v>17</v>
      </c>
      <c r="N15" s="8" t="s">
        <v>1251</v>
      </c>
      <c r="O15" s="8" t="s">
        <v>1253</v>
      </c>
      <c r="P15" s="13">
        <f t="shared" ca="1" si="6"/>
        <v>14060.000000000011</v>
      </c>
      <c r="Q1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432.51497619821708</v>
      </c>
      <c r="R15" s="8" t="str">
        <f t="shared" ca="1" si="5"/>
        <v>Vigente</v>
      </c>
      <c r="S15" t="str">
        <f ca="1">IF(Tabla1[[#This Row],[En Mora]]="No","",DATEDIF((EDATE(Tabla1[[#This Row],[FechaDesembolso]],Tabla1[[#This Row],[Mes de Mora]])),TODAY(),"d"))</f>
        <v/>
      </c>
    </row>
    <row r="16" spans="1:19" x14ac:dyDescent="0.25">
      <c r="A16" t="s">
        <v>858</v>
      </c>
      <c r="B16" t="s">
        <v>591</v>
      </c>
      <c r="C16" s="8" t="s">
        <v>35</v>
      </c>
      <c r="D16" s="8" t="str">
        <f>_xlfn.XLOOKUP(B16,Clientes!A:A,Clientes!G:G,"No encontrado",0)</f>
        <v>AG06</v>
      </c>
      <c r="E16" s="9">
        <v>44858</v>
      </c>
      <c r="F16" s="11">
        <v>23426</v>
      </c>
      <c r="G16" s="10">
        <v>0.26507056991414207</v>
      </c>
      <c r="H16" s="10">
        <f t="shared" si="2"/>
        <v>1.9787214460861735E-2</v>
      </c>
      <c r="I16">
        <v>59</v>
      </c>
      <c r="J16" s="12">
        <f t="shared" si="3"/>
        <v>676.42555181494117</v>
      </c>
      <c r="K16">
        <f t="shared" ca="1" si="0"/>
        <v>45</v>
      </c>
      <c r="L16">
        <f ca="1">MIN(DATEDIF(Tabla1[[#This Row],[FechaDesembolso]],TODAY(),"m"),Tabla1[[#This Row],[Plazos (Meses)]])</f>
        <v>45</v>
      </c>
      <c r="M16">
        <f t="shared" ca="1" si="4"/>
        <v>14</v>
      </c>
      <c r="N16" s="8" t="s">
        <v>1251</v>
      </c>
      <c r="O16" s="8" t="s">
        <v>1253</v>
      </c>
      <c r="P16" s="13">
        <f t="shared" ca="1" si="6"/>
        <v>23426.000000000036</v>
      </c>
      <c r="Q1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12571.861696079133</v>
      </c>
      <c r="R16" s="8" t="str">
        <f t="shared" ca="1" si="5"/>
        <v>Vigente</v>
      </c>
      <c r="S16" t="str">
        <f ca="1">IF(Tabla1[[#This Row],[En Mora]]="No","",DATEDIF((EDATE(Tabla1[[#This Row],[FechaDesembolso]],Tabla1[[#This Row],[Mes de Mora]])),TODAY(),"d"))</f>
        <v/>
      </c>
    </row>
    <row r="17" spans="1:19" x14ac:dyDescent="0.25">
      <c r="A17" t="s">
        <v>859</v>
      </c>
      <c r="B17" t="s">
        <v>120</v>
      </c>
      <c r="C17" s="8" t="s">
        <v>35</v>
      </c>
      <c r="D17" s="8" t="str">
        <f>_xlfn.XLOOKUP(B17,Clientes!A:A,Clientes!G:G,"No encontrado",0)</f>
        <v>AG05</v>
      </c>
      <c r="E17" s="9">
        <v>45986</v>
      </c>
      <c r="F17" s="11">
        <v>71007</v>
      </c>
      <c r="G17" s="10">
        <v>0.30252263008230285</v>
      </c>
      <c r="H17" s="10">
        <f t="shared" si="2"/>
        <v>2.2269585278283044E-2</v>
      </c>
      <c r="I17">
        <v>42</v>
      </c>
      <c r="J17" s="12">
        <f t="shared" si="3"/>
        <v>2620.2425621971465</v>
      </c>
      <c r="K17">
        <f t="shared" ca="1" si="0"/>
        <v>8</v>
      </c>
      <c r="L17">
        <f ca="1">MIN(DATEDIF(Tabla1[[#This Row],[FechaDesembolso]],TODAY(),"m"),Tabla1[[#This Row],[Plazos (Meses)]])</f>
        <v>8</v>
      </c>
      <c r="M17">
        <f t="shared" ca="1" si="4"/>
        <v>34</v>
      </c>
      <c r="N17" s="8" t="s">
        <v>1251</v>
      </c>
      <c r="O17" s="8" t="s">
        <v>1253</v>
      </c>
      <c r="P17" s="13">
        <f t="shared" ca="1" si="6"/>
        <v>71007</v>
      </c>
      <c r="Q1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7436.7976404343135</v>
      </c>
      <c r="R17" s="8" t="str">
        <f t="shared" ca="1" si="5"/>
        <v>Vigente</v>
      </c>
      <c r="S17" t="str">
        <f ca="1">IF(Tabla1[[#This Row],[En Mora]]="No","",DATEDIF((EDATE(Tabla1[[#This Row],[FechaDesembolso]],Tabla1[[#This Row],[Mes de Mora]])),TODAY(),"d"))</f>
        <v/>
      </c>
    </row>
    <row r="18" spans="1:19" x14ac:dyDescent="0.25">
      <c r="A18" t="s">
        <v>860</v>
      </c>
      <c r="B18" t="s">
        <v>531</v>
      </c>
      <c r="C18" s="8" t="s">
        <v>31</v>
      </c>
      <c r="D18" s="8" t="str">
        <f>_xlfn.XLOOKUP(B18,Clientes!A:A,Clientes!G:G,"No encontrado",0)</f>
        <v>AG03</v>
      </c>
      <c r="E18" s="9">
        <v>45929</v>
      </c>
      <c r="F18" s="11">
        <v>800</v>
      </c>
      <c r="G18" s="10">
        <v>0.35532942933804856</v>
      </c>
      <c r="H18" s="10">
        <f t="shared" si="2"/>
        <v>2.5660756621726177E-2</v>
      </c>
      <c r="I18">
        <v>15</v>
      </c>
      <c r="J18" s="12">
        <f t="shared" si="3"/>
        <v>64.927641147759388</v>
      </c>
      <c r="K18">
        <f t="shared" ca="1" si="0"/>
        <v>10</v>
      </c>
      <c r="L18">
        <f ca="1">MIN(DATEDIF(Tabla1[[#This Row],[FechaDesembolso]],TODAY(),"m"),Tabla1[[#This Row],[Plazos (Meses)]])</f>
        <v>10</v>
      </c>
      <c r="M18">
        <f t="shared" ca="1" si="4"/>
        <v>5</v>
      </c>
      <c r="N18" s="8" t="s">
        <v>1251</v>
      </c>
      <c r="O18" s="8" t="s">
        <v>1253</v>
      </c>
      <c r="P18" s="13">
        <f t="shared" ca="1" si="6"/>
        <v>800</v>
      </c>
      <c r="Q1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115.94307814426057</v>
      </c>
      <c r="R18" s="8" t="str">
        <f t="shared" ca="1" si="5"/>
        <v>Vigente</v>
      </c>
      <c r="S18" t="str">
        <f ca="1">IF(Tabla1[[#This Row],[En Mora]]="No","",DATEDIF((EDATE(Tabla1[[#This Row],[FechaDesembolso]],Tabla1[[#This Row],[Mes de Mora]])),TODAY(),"d"))</f>
        <v/>
      </c>
    </row>
    <row r="19" spans="1:19" x14ac:dyDescent="0.25">
      <c r="A19" t="s">
        <v>861</v>
      </c>
      <c r="B19" t="s">
        <v>60</v>
      </c>
      <c r="C19" s="8" t="s">
        <v>35</v>
      </c>
      <c r="D19" s="8" t="str">
        <f>_xlfn.XLOOKUP(B19,Clientes!A:A,Clientes!G:G,"No encontrado",0)</f>
        <v>AG07</v>
      </c>
      <c r="E19" s="9">
        <v>45834</v>
      </c>
      <c r="F19" s="11">
        <v>23587</v>
      </c>
      <c r="G19" s="10">
        <v>0.34724703797403744</v>
      </c>
      <c r="H19" s="10">
        <f t="shared" si="2"/>
        <v>2.5149654788838793E-2</v>
      </c>
      <c r="I19">
        <v>46</v>
      </c>
      <c r="J19" s="12">
        <f t="shared" si="3"/>
        <v>871.07437406343092</v>
      </c>
      <c r="K19">
        <f t="shared" ca="1" si="0"/>
        <v>13</v>
      </c>
      <c r="L19">
        <f ca="1">MIN(DATEDIF(Tabla1[[#This Row],[FechaDesembolso]],TODAY(),"m"),Tabla1[[#This Row],[Plazos (Meses)]])</f>
        <v>13</v>
      </c>
      <c r="M19">
        <f t="shared" ca="1" si="4"/>
        <v>33</v>
      </c>
      <c r="N19" s="8" t="s">
        <v>1251</v>
      </c>
      <c r="O19" s="8" t="s">
        <v>1253</v>
      </c>
      <c r="P19" s="13">
        <f t="shared" ca="1" si="6"/>
        <v>23586.99999999996</v>
      </c>
      <c r="Q1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4658.0755584767758</v>
      </c>
      <c r="R19" s="8" t="str">
        <f t="shared" ca="1" si="5"/>
        <v>Vigente</v>
      </c>
      <c r="S19" t="str">
        <f ca="1">IF(Tabla1[[#This Row],[En Mora]]="No","",DATEDIF((EDATE(Tabla1[[#This Row],[FechaDesembolso]],Tabla1[[#This Row],[Mes de Mora]])),TODAY(),"d"))</f>
        <v/>
      </c>
    </row>
    <row r="20" spans="1:19" x14ac:dyDescent="0.25">
      <c r="A20" t="s">
        <v>862</v>
      </c>
      <c r="B20" t="s">
        <v>198</v>
      </c>
      <c r="C20" s="8" t="s">
        <v>31</v>
      </c>
      <c r="D20" s="8" t="str">
        <f>_xlfn.XLOOKUP(B20,Clientes!A:A,Clientes!G:G,"No encontrado",0)</f>
        <v>AG05</v>
      </c>
      <c r="E20" s="9">
        <v>45707</v>
      </c>
      <c r="F20" s="11">
        <v>8130</v>
      </c>
      <c r="G20" s="10">
        <v>0.40370062094397663</v>
      </c>
      <c r="H20" s="10">
        <f t="shared" si="2"/>
        <v>2.8662420566254898E-2</v>
      </c>
      <c r="I20">
        <v>11</v>
      </c>
      <c r="J20" s="12">
        <f t="shared" si="3"/>
        <v>872.17251342528925</v>
      </c>
      <c r="K20">
        <f t="shared" ca="1" si="0"/>
        <v>11</v>
      </c>
      <c r="L20">
        <f ca="1">MIN(DATEDIF(Tabla1[[#This Row],[FechaDesembolso]],TODAY(),"m"),Tabla1[[#This Row],[Plazos (Meses)]])</f>
        <v>11</v>
      </c>
      <c r="M20">
        <f t="shared" ca="1" si="4"/>
        <v>0</v>
      </c>
      <c r="N20" s="8" t="s">
        <v>1251</v>
      </c>
      <c r="O20" s="8" t="s">
        <v>1253</v>
      </c>
      <c r="P20" s="13">
        <f t="shared" ca="1" si="6"/>
        <v>0</v>
      </c>
      <c r="Q2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0" s="8" t="str">
        <f t="shared" ca="1" si="5"/>
        <v>Cancelado</v>
      </c>
      <c r="S20" t="str">
        <f ca="1">IF(Tabla1[[#This Row],[En Mora]]="No","",DATEDIF((EDATE(Tabla1[[#This Row],[FechaDesembolso]],Tabla1[[#This Row],[Mes de Mora]])),TODAY(),"d"))</f>
        <v/>
      </c>
    </row>
    <row r="21" spans="1:19" x14ac:dyDescent="0.25">
      <c r="A21" t="s">
        <v>863</v>
      </c>
      <c r="B21" t="s">
        <v>573</v>
      </c>
      <c r="C21" s="8" t="s">
        <v>33</v>
      </c>
      <c r="D21" s="8" t="str">
        <f>_xlfn.XLOOKUP(B21,Clientes!A:A,Clientes!G:G,"No encontrado",0)</f>
        <v>AG04</v>
      </c>
      <c r="E21" s="9">
        <v>46018</v>
      </c>
      <c r="F21" s="11">
        <v>28095</v>
      </c>
      <c r="G21" s="10">
        <v>0.3538526398257214</v>
      </c>
      <c r="H21" s="10">
        <f t="shared" si="2"/>
        <v>2.5567578658982404E-2</v>
      </c>
      <c r="I21">
        <v>30</v>
      </c>
      <c r="J21" s="12">
        <f t="shared" si="3"/>
        <v>1352.4917805808298</v>
      </c>
      <c r="K21">
        <f t="shared" ca="1" si="0"/>
        <v>7</v>
      </c>
      <c r="L21">
        <f ca="1">MIN(DATEDIF(Tabla1[[#This Row],[FechaDesembolso]],TODAY(),"m"),Tabla1[[#This Row],[Plazos (Meses)]])</f>
        <v>7</v>
      </c>
      <c r="M21">
        <f t="shared" ca="1" si="4"/>
        <v>23</v>
      </c>
      <c r="N21" s="8" t="s">
        <v>1251</v>
      </c>
      <c r="O21" s="8" t="s">
        <v>1253</v>
      </c>
      <c r="P21" s="13">
        <f t="shared" ca="1" si="6"/>
        <v>28095.000000000011</v>
      </c>
      <c r="Q2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2911.9424640658085</v>
      </c>
      <c r="R21" s="8" t="str">
        <f t="shared" ca="1" si="5"/>
        <v>Vigente</v>
      </c>
      <c r="S21" t="str">
        <f ca="1">IF(Tabla1[[#This Row],[En Mora]]="No","",DATEDIF((EDATE(Tabla1[[#This Row],[FechaDesembolso]],Tabla1[[#This Row],[Mes de Mora]])),TODAY(),"d"))</f>
        <v/>
      </c>
    </row>
    <row r="22" spans="1:19" x14ac:dyDescent="0.25">
      <c r="A22" t="s">
        <v>864</v>
      </c>
      <c r="B22" t="s">
        <v>386</v>
      </c>
      <c r="C22" s="8" t="s">
        <v>31</v>
      </c>
      <c r="D22" s="8" t="str">
        <f>_xlfn.XLOOKUP(B22,Clientes!A:A,Clientes!G:G,"No encontrado",0)</f>
        <v>AG05</v>
      </c>
      <c r="E22" s="9">
        <v>45955</v>
      </c>
      <c r="F22" s="11">
        <v>1049</v>
      </c>
      <c r="G22" s="10">
        <v>0.49260134907912534</v>
      </c>
      <c r="H22" s="10">
        <f t="shared" si="2"/>
        <v>3.3939957063938264E-2</v>
      </c>
      <c r="I22">
        <v>16</v>
      </c>
      <c r="J22" s="12">
        <f t="shared" si="3"/>
        <v>86.0473477442183</v>
      </c>
      <c r="K22">
        <f t="shared" ca="1" si="0"/>
        <v>9</v>
      </c>
      <c r="L22">
        <f ca="1">MIN(DATEDIF(Tabla1[[#This Row],[FechaDesembolso]],TODAY(),"m"),Tabla1[[#This Row],[Plazos (Meses)]])</f>
        <v>9</v>
      </c>
      <c r="M22">
        <f t="shared" ca="1" si="4"/>
        <v>7</v>
      </c>
      <c r="N22" s="8" t="s">
        <v>1251</v>
      </c>
      <c r="O22" s="8" t="s">
        <v>1253</v>
      </c>
      <c r="P22" s="13">
        <f t="shared" ca="1" si="6"/>
        <v>1048.9999999999993</v>
      </c>
      <c r="Q2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184.36362969796471</v>
      </c>
      <c r="R22" s="8" t="str">
        <f t="shared" ca="1" si="5"/>
        <v>Vigente</v>
      </c>
      <c r="S22" t="str">
        <f ca="1">IF(Tabla1[[#This Row],[En Mora]]="No","",DATEDIF((EDATE(Tabla1[[#This Row],[FechaDesembolso]],Tabla1[[#This Row],[Mes de Mora]])),TODAY(),"d"))</f>
        <v/>
      </c>
    </row>
    <row r="23" spans="1:19" x14ac:dyDescent="0.25">
      <c r="A23" t="s">
        <v>865</v>
      </c>
      <c r="B23" t="s">
        <v>793</v>
      </c>
      <c r="C23" s="8" t="s">
        <v>35</v>
      </c>
      <c r="D23" s="8" t="str">
        <f>_xlfn.XLOOKUP(B23,Clientes!A:A,Clientes!G:G,"No encontrado",0)</f>
        <v>AG03</v>
      </c>
      <c r="E23" s="9">
        <v>45849</v>
      </c>
      <c r="F23" s="11">
        <v>21740</v>
      </c>
      <c r="G23" s="10">
        <v>0.22680242956120242</v>
      </c>
      <c r="H23" s="10">
        <f t="shared" si="2"/>
        <v>1.7180171478925255E-2</v>
      </c>
      <c r="I23">
        <v>42</v>
      </c>
      <c r="J23" s="12">
        <f t="shared" si="3"/>
        <v>730.88145627834069</v>
      </c>
      <c r="K23">
        <f t="shared" ca="1" si="0"/>
        <v>5</v>
      </c>
      <c r="L23">
        <f ca="1">MIN(DATEDIF(Tabla1[[#This Row],[FechaDesembolso]],TODAY(),"m"),Tabla1[[#This Row],[Plazos (Meses)]])</f>
        <v>13</v>
      </c>
      <c r="M23">
        <f t="shared" ca="1" si="4"/>
        <v>37</v>
      </c>
      <c r="N23" s="8" t="s">
        <v>1252</v>
      </c>
      <c r="O23" s="8">
        <v>5</v>
      </c>
      <c r="P23" s="13">
        <f t="shared" ca="1" si="6"/>
        <v>21739.999999999945</v>
      </c>
      <c r="Q2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1066.3120432964652</v>
      </c>
      <c r="R23" s="8" t="str">
        <f t="shared" si="5"/>
        <v>En mora</v>
      </c>
      <c r="S23">
        <f ca="1">IF(Tabla1[[#This Row],[En Mora]]="No","",DATEDIF((EDATE(Tabla1[[#This Row],[FechaDesembolso]],Tabla1[[#This Row],[Mes de Mora]])),TODAY(),"d"))</f>
        <v>244</v>
      </c>
    </row>
    <row r="24" spans="1:19" x14ac:dyDescent="0.25">
      <c r="A24" t="s">
        <v>866</v>
      </c>
      <c r="B24" t="s">
        <v>332</v>
      </c>
      <c r="C24" s="8" t="s">
        <v>39</v>
      </c>
      <c r="D24" s="8" t="str">
        <f>_xlfn.XLOOKUP(B24,Clientes!A:A,Clientes!G:G,"No encontrado",0)</f>
        <v>AG06</v>
      </c>
      <c r="E24" s="9">
        <v>46090</v>
      </c>
      <c r="F24" s="11">
        <v>19322</v>
      </c>
      <c r="G24" s="10">
        <v>0.3714977521567191</v>
      </c>
      <c r="H24" s="10">
        <f t="shared" si="2"/>
        <v>2.6674853734462767E-2</v>
      </c>
      <c r="I24">
        <v>22</v>
      </c>
      <c r="J24" s="12">
        <f t="shared" si="3"/>
        <v>1172.3783478277976</v>
      </c>
      <c r="K24">
        <f t="shared" ca="1" si="0"/>
        <v>5</v>
      </c>
      <c r="L24">
        <f ca="1">MIN(DATEDIF(Tabla1[[#This Row],[FechaDesembolso]],TODAY(),"m"),Tabla1[[#This Row],[Plazos (Meses)]])</f>
        <v>5</v>
      </c>
      <c r="M24">
        <f t="shared" ca="1" si="4"/>
        <v>17</v>
      </c>
      <c r="N24" s="8" t="s">
        <v>1251</v>
      </c>
      <c r="O24" s="8" t="s">
        <v>1253</v>
      </c>
      <c r="P24" s="13">
        <f t="shared" ca="1" si="6"/>
        <v>19321.999999999996</v>
      </c>
      <c r="Q2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1470.5281027753517</v>
      </c>
      <c r="R24" s="8" t="str">
        <f t="shared" ca="1" si="5"/>
        <v>Vigente</v>
      </c>
      <c r="S24" t="str">
        <f ca="1">IF(Tabla1[[#This Row],[En Mora]]="No","",DATEDIF((EDATE(Tabla1[[#This Row],[FechaDesembolso]],Tabla1[[#This Row],[Mes de Mora]])),TODAY(),"d"))</f>
        <v/>
      </c>
    </row>
    <row r="25" spans="1:19" x14ac:dyDescent="0.25">
      <c r="A25" t="s">
        <v>867</v>
      </c>
      <c r="B25" t="s">
        <v>137</v>
      </c>
      <c r="C25" s="8" t="s">
        <v>33</v>
      </c>
      <c r="D25" s="8" t="str">
        <f>_xlfn.XLOOKUP(B25,Clientes!A:A,Clientes!G:G,"No encontrado",0)</f>
        <v>AG07</v>
      </c>
      <c r="E25" s="9">
        <v>46137</v>
      </c>
      <c r="F25" s="11">
        <v>17386</v>
      </c>
      <c r="G25" s="10">
        <v>0.30611137824348594</v>
      </c>
      <c r="H25" s="10">
        <f t="shared" si="2"/>
        <v>2.2504004966770186E-2</v>
      </c>
      <c r="I25">
        <v>47</v>
      </c>
      <c r="J25" s="12">
        <f t="shared" si="3"/>
        <v>603.18613125773322</v>
      </c>
      <c r="K25">
        <f t="shared" ca="1" si="0"/>
        <v>3</v>
      </c>
      <c r="L25">
        <f ca="1">MIN(DATEDIF(Tabla1[[#This Row],[FechaDesembolso]],TODAY(),"m"),Tabla1[[#This Row],[Plazos (Meses)]])</f>
        <v>3</v>
      </c>
      <c r="M25">
        <f t="shared" ca="1" si="4"/>
        <v>44</v>
      </c>
      <c r="N25" s="8" t="s">
        <v>1251</v>
      </c>
      <c r="O25" s="8" t="s">
        <v>1253</v>
      </c>
      <c r="P25" s="13">
        <f t="shared" ca="1" si="6"/>
        <v>17385.999999999975</v>
      </c>
      <c r="Q2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699.81371292213566</v>
      </c>
      <c r="R25" s="8" t="str">
        <f t="shared" ca="1" si="5"/>
        <v>Vigente</v>
      </c>
      <c r="S25" t="str">
        <f ca="1">IF(Tabla1[[#This Row],[En Mora]]="No","",DATEDIF((EDATE(Tabla1[[#This Row],[FechaDesembolso]],Tabla1[[#This Row],[Mes de Mora]])),TODAY(),"d"))</f>
        <v/>
      </c>
    </row>
    <row r="26" spans="1:19" x14ac:dyDescent="0.25">
      <c r="A26" t="s">
        <v>868</v>
      </c>
      <c r="B26" t="s">
        <v>498</v>
      </c>
      <c r="C26" s="8" t="s">
        <v>33</v>
      </c>
      <c r="D26" s="8" t="str">
        <f>_xlfn.XLOOKUP(B26,Clientes!A:A,Clientes!G:G,"No encontrado",0)</f>
        <v>AG04</v>
      </c>
      <c r="E26" s="9">
        <v>46104</v>
      </c>
      <c r="F26" s="11">
        <v>30980</v>
      </c>
      <c r="G26" s="10">
        <v>0.39750211774365418</v>
      </c>
      <c r="H26" s="10">
        <f t="shared" si="2"/>
        <v>2.8283119085028341E-2</v>
      </c>
      <c r="I26">
        <v>34</v>
      </c>
      <c r="J26" s="12">
        <f t="shared" si="3"/>
        <v>1430.3325352904005</v>
      </c>
      <c r="K26">
        <f t="shared" ca="1" si="0"/>
        <v>4</v>
      </c>
      <c r="L26">
        <f ca="1">MIN(DATEDIF(Tabla1[[#This Row],[FechaDesembolso]],TODAY(),"m"),Tabla1[[#This Row],[Plazos (Meses)]])</f>
        <v>4</v>
      </c>
      <c r="M26">
        <f t="shared" ca="1" si="4"/>
        <v>30</v>
      </c>
      <c r="N26" s="8" t="s">
        <v>1251</v>
      </c>
      <c r="O26" s="8" t="s">
        <v>1253</v>
      </c>
      <c r="P26" s="13">
        <f t="shared" ca="1" si="6"/>
        <v>30980.000000000011</v>
      </c>
      <c r="Q2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2076.6242588086607</v>
      </c>
      <c r="R26" s="8" t="str">
        <f t="shared" ca="1" si="5"/>
        <v>Vigente</v>
      </c>
      <c r="S26" t="str">
        <f ca="1">IF(Tabla1[[#This Row],[En Mora]]="No","",DATEDIF((EDATE(Tabla1[[#This Row],[FechaDesembolso]],Tabla1[[#This Row],[Mes de Mora]])),TODAY(),"d"))</f>
        <v/>
      </c>
    </row>
    <row r="27" spans="1:19" x14ac:dyDescent="0.25">
      <c r="A27" t="s">
        <v>869</v>
      </c>
      <c r="B27" t="s">
        <v>282</v>
      </c>
      <c r="C27" s="8" t="s">
        <v>39</v>
      </c>
      <c r="D27" s="8" t="str">
        <f>_xlfn.XLOOKUP(B27,Clientes!A:A,Clientes!G:G,"No encontrado",0)</f>
        <v>AG01</v>
      </c>
      <c r="E27" s="9">
        <v>45838</v>
      </c>
      <c r="F27" s="11">
        <v>16237</v>
      </c>
      <c r="G27" s="10">
        <v>0.37084950333101274</v>
      </c>
      <c r="H27" s="10">
        <f t="shared" si="2"/>
        <v>2.6634406165976232E-2</v>
      </c>
      <c r="I27">
        <v>14</v>
      </c>
      <c r="J27" s="12">
        <f t="shared" si="3"/>
        <v>1404.6270210902994</v>
      </c>
      <c r="K27">
        <f t="shared" ca="1" si="0"/>
        <v>1</v>
      </c>
      <c r="L27">
        <f ca="1">MIN(DATEDIF(Tabla1[[#This Row],[FechaDesembolso]],TODAY(),"m"),Tabla1[[#This Row],[Plazos (Meses)]])</f>
        <v>13</v>
      </c>
      <c r="M27">
        <f t="shared" ca="1" si="4"/>
        <v>13</v>
      </c>
      <c r="N27" s="8" t="s">
        <v>1252</v>
      </c>
      <c r="O27" s="8">
        <v>1</v>
      </c>
      <c r="P27" s="13">
        <f t="shared" ca="1" si="6"/>
        <v>16236.999999999987</v>
      </c>
      <c r="Q2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244.84130680458526</v>
      </c>
      <c r="R27" s="8" t="str">
        <f t="shared" si="5"/>
        <v>En mora</v>
      </c>
      <c r="S27">
        <f ca="1">IF(Tabla1[[#This Row],[En Mora]]="No","",DATEDIF((EDATE(Tabla1[[#This Row],[FechaDesembolso]],Tabla1[[#This Row],[Mes de Mora]])),TODAY(),"d"))</f>
        <v>378</v>
      </c>
    </row>
    <row r="28" spans="1:19" x14ac:dyDescent="0.25">
      <c r="A28" t="s">
        <v>870</v>
      </c>
      <c r="B28" t="s">
        <v>831</v>
      </c>
      <c r="C28" s="8" t="s">
        <v>37</v>
      </c>
      <c r="D28" s="8" t="str">
        <f>_xlfn.XLOOKUP(B28,Clientes!A:A,Clientes!G:G,"No encontrado",0)</f>
        <v>AG03</v>
      </c>
      <c r="E28" s="9">
        <v>45997</v>
      </c>
      <c r="F28" s="11">
        <v>42798</v>
      </c>
      <c r="G28" s="10">
        <v>0.12323904739675211</v>
      </c>
      <c r="H28" s="10">
        <f t="shared" si="2"/>
        <v>9.7317584057108331E-3</v>
      </c>
      <c r="I28">
        <v>117</v>
      </c>
      <c r="J28" s="12">
        <f t="shared" si="3"/>
        <v>614.33352655765816</v>
      </c>
      <c r="K28">
        <f t="shared" ca="1" si="0"/>
        <v>8</v>
      </c>
      <c r="L28">
        <f ca="1">MIN(DATEDIF(Tabla1[[#This Row],[FechaDesembolso]],TODAY(),"m"),Tabla1[[#This Row],[Plazos (Meses)]])</f>
        <v>8</v>
      </c>
      <c r="M28">
        <f t="shared" ca="1" si="4"/>
        <v>109</v>
      </c>
      <c r="N28" s="8" t="s">
        <v>1251</v>
      </c>
      <c r="O28" s="8" t="s">
        <v>1253</v>
      </c>
      <c r="P28" s="13">
        <f t="shared" ca="1" si="6"/>
        <v>42797.999999999847</v>
      </c>
      <c r="Q2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1988.3092381022911</v>
      </c>
      <c r="R28" s="8" t="str">
        <f t="shared" ca="1" si="5"/>
        <v>Vigente</v>
      </c>
      <c r="S28" t="str">
        <f ca="1">IF(Tabla1[[#This Row],[En Mora]]="No","",DATEDIF((EDATE(Tabla1[[#This Row],[FechaDesembolso]],Tabla1[[#This Row],[Mes de Mora]])),TODAY(),"d"))</f>
        <v/>
      </c>
    </row>
    <row r="29" spans="1:19" x14ac:dyDescent="0.25">
      <c r="A29" t="s">
        <v>871</v>
      </c>
      <c r="B29" t="s">
        <v>822</v>
      </c>
      <c r="C29" s="8" t="s">
        <v>33</v>
      </c>
      <c r="D29" s="8" t="str">
        <f>_xlfn.XLOOKUP(B29,Clientes!A:A,Clientes!G:G,"No encontrado",0)</f>
        <v>AG01</v>
      </c>
      <c r="E29" s="9">
        <v>45760</v>
      </c>
      <c r="F29" s="11">
        <v>27901</v>
      </c>
      <c r="G29" s="10">
        <v>0.43886450432698343</v>
      </c>
      <c r="H29" s="10">
        <f t="shared" si="2"/>
        <v>3.0785557417471798E-2</v>
      </c>
      <c r="I29">
        <v>11</v>
      </c>
      <c r="J29" s="12">
        <f t="shared" si="3"/>
        <v>3028.6040576561459</v>
      </c>
      <c r="K29">
        <f t="shared" ca="1" si="0"/>
        <v>11</v>
      </c>
      <c r="L29">
        <f ca="1">MIN(DATEDIF(Tabla1[[#This Row],[FechaDesembolso]],TODAY(),"m"),Tabla1[[#This Row],[Plazos (Meses)]])</f>
        <v>11</v>
      </c>
      <c r="M29">
        <f t="shared" ca="1" si="4"/>
        <v>0</v>
      </c>
      <c r="N29" s="8" t="s">
        <v>1251</v>
      </c>
      <c r="O29" s="8" t="s">
        <v>1253</v>
      </c>
      <c r="P29" s="13">
        <f t="shared" ca="1" si="6"/>
        <v>0</v>
      </c>
      <c r="Q2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9" s="8" t="str">
        <f t="shared" ca="1" si="5"/>
        <v>Cancelado</v>
      </c>
      <c r="S29" t="str">
        <f ca="1">IF(Tabla1[[#This Row],[En Mora]]="No","",DATEDIF((EDATE(Tabla1[[#This Row],[FechaDesembolso]],Tabla1[[#This Row],[Mes de Mora]])),TODAY(),"d"))</f>
        <v/>
      </c>
    </row>
    <row r="30" spans="1:19" x14ac:dyDescent="0.25">
      <c r="A30" t="s">
        <v>872</v>
      </c>
      <c r="B30" t="s">
        <v>60</v>
      </c>
      <c r="C30" s="8" t="s">
        <v>33</v>
      </c>
      <c r="D30" s="8" t="str">
        <f>_xlfn.XLOOKUP(B30,Clientes!A:A,Clientes!G:G,"No encontrado",0)</f>
        <v>AG07</v>
      </c>
      <c r="E30" s="9">
        <v>45944</v>
      </c>
      <c r="F30" s="11">
        <v>4103</v>
      </c>
      <c r="G30" s="10">
        <v>0.33970595101459689</v>
      </c>
      <c r="H30" s="10">
        <f t="shared" si="2"/>
        <v>2.4670242158567168E-2</v>
      </c>
      <c r="I30">
        <v>39</v>
      </c>
      <c r="J30" s="12">
        <f t="shared" si="3"/>
        <v>165.00771867960268</v>
      </c>
      <c r="K30">
        <f t="shared" ca="1" si="0"/>
        <v>9</v>
      </c>
      <c r="L30">
        <f ca="1">MIN(DATEDIF(Tabla1[[#This Row],[FechaDesembolso]],TODAY(),"m"),Tabla1[[#This Row],[Plazos (Meses)]])</f>
        <v>9</v>
      </c>
      <c r="M30">
        <f t="shared" ca="1" si="4"/>
        <v>30</v>
      </c>
      <c r="N30" s="8" t="s">
        <v>1251</v>
      </c>
      <c r="O30" s="8" t="s">
        <v>1253</v>
      </c>
      <c r="P30" s="13">
        <f t="shared" ca="1" si="6"/>
        <v>4103.0000000000045</v>
      </c>
      <c r="Q3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538.22331427027041</v>
      </c>
      <c r="R30" s="8" t="str">
        <f t="shared" ca="1" si="5"/>
        <v>Vigente</v>
      </c>
      <c r="S30" t="str">
        <f ca="1">IF(Tabla1[[#This Row],[En Mora]]="No","",DATEDIF((EDATE(Tabla1[[#This Row],[FechaDesembolso]],Tabla1[[#This Row],[Mes de Mora]])),TODAY(),"d"))</f>
        <v/>
      </c>
    </row>
    <row r="31" spans="1:19" x14ac:dyDescent="0.25">
      <c r="A31" t="s">
        <v>873</v>
      </c>
      <c r="B31" t="s">
        <v>480</v>
      </c>
      <c r="C31" s="8" t="s">
        <v>31</v>
      </c>
      <c r="D31" s="8" t="str">
        <f>_xlfn.XLOOKUP(B31,Clientes!A:A,Clientes!G:G,"No encontrado",0)</f>
        <v>AG06</v>
      </c>
      <c r="E31" s="9">
        <v>46205</v>
      </c>
      <c r="F31" s="11">
        <v>10514</v>
      </c>
      <c r="G31" s="10">
        <v>0.5291845274895377</v>
      </c>
      <c r="H31" s="10">
        <f t="shared" si="2"/>
        <v>3.6028393583432239E-2</v>
      </c>
      <c r="I31">
        <v>32</v>
      </c>
      <c r="J31" s="12">
        <f t="shared" si="3"/>
        <v>558.85928407594042</v>
      </c>
      <c r="K31">
        <f t="shared" ca="1" si="0"/>
        <v>1</v>
      </c>
      <c r="L31">
        <f ca="1">MIN(DATEDIF(Tabla1[[#This Row],[FechaDesembolso]],TODAY(),"m"),Tabla1[[#This Row],[Plazos (Meses)]])</f>
        <v>1</v>
      </c>
      <c r="M31">
        <f t="shared" ca="1" si="4"/>
        <v>31</v>
      </c>
      <c r="N31" s="8" t="s">
        <v>1251</v>
      </c>
      <c r="O31" s="8" t="s">
        <v>1253</v>
      </c>
      <c r="P31" s="13">
        <f t="shared" ca="1" si="6"/>
        <v>10513.999999999996</v>
      </c>
      <c r="Q3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230.29678407594042</v>
      </c>
      <c r="R31" s="8" t="str">
        <f t="shared" ca="1" si="5"/>
        <v>Vigente</v>
      </c>
      <c r="S31" t="str">
        <f ca="1">IF(Tabla1[[#This Row],[En Mora]]="No","",DATEDIF((EDATE(Tabla1[[#This Row],[FechaDesembolso]],Tabla1[[#This Row],[Mes de Mora]])),TODAY(),"d"))</f>
        <v/>
      </c>
    </row>
    <row r="32" spans="1:19" x14ac:dyDescent="0.25">
      <c r="A32" t="s">
        <v>874</v>
      </c>
      <c r="B32" t="s">
        <v>130</v>
      </c>
      <c r="C32" s="8" t="s">
        <v>39</v>
      </c>
      <c r="D32" s="8" t="str">
        <f>_xlfn.XLOOKUP(B32,Clientes!A:A,Clientes!G:G,"No encontrado",0)</f>
        <v>AG04</v>
      </c>
      <c r="E32" s="9">
        <v>45993</v>
      </c>
      <c r="F32" s="11">
        <v>13074</v>
      </c>
      <c r="G32" s="10">
        <v>0.24960744867183354</v>
      </c>
      <c r="H32" s="10">
        <f t="shared" si="2"/>
        <v>1.8742600001356635E-2</v>
      </c>
      <c r="I32">
        <v>13</v>
      </c>
      <c r="J32" s="12">
        <f t="shared" si="3"/>
        <v>1142.5327538119711</v>
      </c>
      <c r="K32">
        <f t="shared" ca="1" si="0"/>
        <v>8</v>
      </c>
      <c r="L32">
        <f ca="1">MIN(DATEDIF(Tabla1[[#This Row],[FechaDesembolso]],TODAY(),"m"),Tabla1[[#This Row],[Plazos (Meses)]])</f>
        <v>8</v>
      </c>
      <c r="M32">
        <f t="shared" ca="1" si="4"/>
        <v>5</v>
      </c>
      <c r="N32" s="8" t="s">
        <v>1251</v>
      </c>
      <c r="O32" s="8" t="s">
        <v>1253</v>
      </c>
      <c r="P32" s="13">
        <f t="shared" ca="1" si="6"/>
        <v>13073.999999999991</v>
      </c>
      <c r="Q3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1094.7235689573081</v>
      </c>
      <c r="R32" s="8" t="str">
        <f t="shared" ca="1" si="5"/>
        <v>Vigente</v>
      </c>
      <c r="S32" t="str">
        <f ca="1">IF(Tabla1[[#This Row],[En Mora]]="No","",DATEDIF((EDATE(Tabla1[[#This Row],[FechaDesembolso]],Tabla1[[#This Row],[Mes de Mora]])),TODAY(),"d"))</f>
        <v/>
      </c>
    </row>
    <row r="33" spans="1:19" x14ac:dyDescent="0.25">
      <c r="A33" t="s">
        <v>875</v>
      </c>
      <c r="B33" t="s">
        <v>657</v>
      </c>
      <c r="C33" s="8" t="s">
        <v>33</v>
      </c>
      <c r="D33" s="8" t="str">
        <f>_xlfn.XLOOKUP(B33,Clientes!A:A,Clientes!G:G,"No encontrado",0)</f>
        <v>AG03</v>
      </c>
      <c r="E33" s="9">
        <v>45569</v>
      </c>
      <c r="F33" s="11">
        <v>33688</v>
      </c>
      <c r="G33" s="10">
        <v>0.27150707127533669</v>
      </c>
      <c r="H33" s="10">
        <f t="shared" si="2"/>
        <v>2.0218587290813828E-2</v>
      </c>
      <c r="I33">
        <v>18</v>
      </c>
      <c r="J33" s="12">
        <f t="shared" si="3"/>
        <v>2251.3812974234825</v>
      </c>
      <c r="K33">
        <f t="shared" ca="1" si="0"/>
        <v>18</v>
      </c>
      <c r="L33">
        <f ca="1">MIN(DATEDIF(Tabla1[[#This Row],[FechaDesembolso]],TODAY(),"m"),Tabla1[[#This Row],[Plazos (Meses)]])</f>
        <v>18</v>
      </c>
      <c r="M33">
        <f t="shared" ca="1" si="4"/>
        <v>0</v>
      </c>
      <c r="N33" s="8" t="s">
        <v>1251</v>
      </c>
      <c r="O33" s="8" t="s">
        <v>1253</v>
      </c>
      <c r="P33" s="13">
        <f t="shared" ca="1" si="6"/>
        <v>0</v>
      </c>
      <c r="Q3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3" s="8" t="str">
        <f t="shared" ca="1" si="5"/>
        <v>Cancelado</v>
      </c>
      <c r="S33" t="str">
        <f ca="1">IF(Tabla1[[#This Row],[En Mora]]="No","",DATEDIF((EDATE(Tabla1[[#This Row],[FechaDesembolso]],Tabla1[[#This Row],[Mes de Mora]])),TODAY(),"d"))</f>
        <v/>
      </c>
    </row>
    <row r="34" spans="1:19" x14ac:dyDescent="0.25">
      <c r="A34" t="s">
        <v>876</v>
      </c>
      <c r="B34" t="s">
        <v>729</v>
      </c>
      <c r="C34" s="8" t="s">
        <v>31</v>
      </c>
      <c r="D34" s="8" t="str">
        <f>_xlfn.XLOOKUP(B34,Clientes!A:A,Clientes!G:G,"No encontrado",0)</f>
        <v>AG02</v>
      </c>
      <c r="E34" s="9">
        <v>46038</v>
      </c>
      <c r="F34" s="11">
        <v>6830</v>
      </c>
      <c r="G34" s="10">
        <v>0.477740510802589</v>
      </c>
      <c r="H34" s="10">
        <f t="shared" si="2"/>
        <v>3.3078162979715442E-2</v>
      </c>
      <c r="I34">
        <v>35</v>
      </c>
      <c r="J34" s="12">
        <f t="shared" si="3"/>
        <v>332.30890992924742</v>
      </c>
      <c r="K34">
        <f t="shared" ref="K34:K66" ca="1" si="7">IF(N34="SI",O34,MIN(DATEDIF(E34,TODAY(),"m"),I34))</f>
        <v>6</v>
      </c>
      <c r="L34">
        <f ca="1">MIN(DATEDIF(Tabla1[[#This Row],[FechaDesembolso]],TODAY(),"m"),Tabla1[[#This Row],[Plazos (Meses)]])</f>
        <v>6</v>
      </c>
      <c r="M34">
        <f t="shared" ca="1" si="4"/>
        <v>29</v>
      </c>
      <c r="N34" s="8" t="s">
        <v>1251</v>
      </c>
      <c r="O34" s="8" t="s">
        <v>1253</v>
      </c>
      <c r="P34" s="13">
        <f t="shared" ca="1" si="6"/>
        <v>6830.0000000000045</v>
      </c>
      <c r="Q3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822.99631671834152</v>
      </c>
      <c r="R34" s="8" t="str">
        <f t="shared" ca="1" si="5"/>
        <v>Vigente</v>
      </c>
      <c r="S34" t="str">
        <f ca="1">IF(Tabla1[[#This Row],[En Mora]]="No","",DATEDIF((EDATE(Tabla1[[#This Row],[FechaDesembolso]],Tabla1[[#This Row],[Mes de Mora]])),TODAY(),"d"))</f>
        <v/>
      </c>
    </row>
    <row r="35" spans="1:19" x14ac:dyDescent="0.25">
      <c r="A35" t="s">
        <v>877</v>
      </c>
      <c r="B35" t="s">
        <v>96</v>
      </c>
      <c r="C35" s="8" t="s">
        <v>37</v>
      </c>
      <c r="D35" s="8" t="str">
        <f>_xlfn.XLOOKUP(B35,Clientes!A:A,Clientes!G:G,"No encontrado",0)</f>
        <v>AG04</v>
      </c>
      <c r="E35" s="9">
        <v>46071</v>
      </c>
      <c r="F35" s="11">
        <v>185989</v>
      </c>
      <c r="G35" s="10">
        <v>0.12236825118050645</v>
      </c>
      <c r="H35" s="10">
        <f t="shared" si="2"/>
        <v>9.6665019509996064E-3</v>
      </c>
      <c r="I35">
        <v>176</v>
      </c>
      <c r="J35" s="12">
        <f t="shared" si="3"/>
        <v>2203.1072564260649</v>
      </c>
      <c r="K35">
        <f t="shared" ca="1" si="7"/>
        <v>5</v>
      </c>
      <c r="L35">
        <f ca="1">MIN(DATEDIF(Tabla1[[#This Row],[FechaDesembolso]],TODAY(),"m"),Tabla1[[#This Row],[Plazos (Meses)]])</f>
        <v>5</v>
      </c>
      <c r="M35">
        <f t="shared" ca="1" si="4"/>
        <v>171</v>
      </c>
      <c r="N35" s="8" t="s">
        <v>1251</v>
      </c>
      <c r="O35" s="8" t="s">
        <v>1253</v>
      </c>
      <c r="P35" s="13">
        <f t="shared" ca="1" si="6"/>
        <v>185989.0000000002</v>
      </c>
      <c r="Q3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5731.7578730394152</v>
      </c>
      <c r="R35" s="8" t="str">
        <f t="shared" ca="1" si="5"/>
        <v>Vigente</v>
      </c>
      <c r="S35" t="str">
        <f ca="1">IF(Tabla1[[#This Row],[En Mora]]="No","",DATEDIF((EDATE(Tabla1[[#This Row],[FechaDesembolso]],Tabla1[[#This Row],[Mes de Mora]])),TODAY(),"d"))</f>
        <v/>
      </c>
    </row>
    <row r="36" spans="1:19" x14ac:dyDescent="0.25">
      <c r="A36" t="s">
        <v>878</v>
      </c>
      <c r="B36" t="s">
        <v>410</v>
      </c>
      <c r="C36" s="8" t="s">
        <v>37</v>
      </c>
      <c r="D36" s="8" t="str">
        <f>_xlfn.XLOOKUP(B36,Clientes!A:A,Clientes!G:G,"No encontrado",0)</f>
        <v>AG01</v>
      </c>
      <c r="E36" s="9">
        <v>45529</v>
      </c>
      <c r="F36" s="11">
        <v>179132</v>
      </c>
      <c r="G36" s="10">
        <v>0.11234511065758408</v>
      </c>
      <c r="H36" s="10">
        <f t="shared" si="2"/>
        <v>8.9120192489482442E-3</v>
      </c>
      <c r="I36">
        <v>71</v>
      </c>
      <c r="J36" s="12">
        <f t="shared" si="3"/>
        <v>3415.6824229508607</v>
      </c>
      <c r="K36">
        <f t="shared" ca="1" si="7"/>
        <v>23</v>
      </c>
      <c r="L36">
        <f ca="1">MIN(DATEDIF(Tabla1[[#This Row],[FechaDesembolso]],TODAY(),"m"),Tabla1[[#This Row],[Plazos (Meses)]])</f>
        <v>23</v>
      </c>
      <c r="M36">
        <f t="shared" ca="1" si="4"/>
        <v>48</v>
      </c>
      <c r="N36" s="8" t="s">
        <v>1251</v>
      </c>
      <c r="O36" s="8" t="s">
        <v>1253</v>
      </c>
      <c r="P36" s="13">
        <f t="shared" ca="1" si="6"/>
        <v>179131.99999999962</v>
      </c>
      <c r="Q3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20532.019671531765</v>
      </c>
      <c r="R36" s="8" t="str">
        <f t="shared" ca="1" si="5"/>
        <v>Vigente</v>
      </c>
      <c r="S36" t="str">
        <f ca="1">IF(Tabla1[[#This Row],[En Mora]]="No","",DATEDIF((EDATE(Tabla1[[#This Row],[FechaDesembolso]],Tabla1[[#This Row],[Mes de Mora]])),TODAY(),"d"))</f>
        <v/>
      </c>
    </row>
    <row r="37" spans="1:19" x14ac:dyDescent="0.25">
      <c r="A37" t="s">
        <v>879</v>
      </c>
      <c r="B37" t="s">
        <v>615</v>
      </c>
      <c r="C37" s="8" t="s">
        <v>35</v>
      </c>
      <c r="D37" s="8" t="str">
        <f>_xlfn.XLOOKUP(B37,Clientes!A:A,Clientes!G:G,"No encontrado",0)</f>
        <v>AG05</v>
      </c>
      <c r="E37" s="9">
        <v>45380</v>
      </c>
      <c r="F37" s="11">
        <v>98719</v>
      </c>
      <c r="G37" s="10">
        <v>0.29551754224776827</v>
      </c>
      <c r="H37" s="10">
        <f t="shared" si="2"/>
        <v>2.1810296974245302E-2</v>
      </c>
      <c r="I37">
        <v>14</v>
      </c>
      <c r="J37" s="12">
        <f t="shared" si="3"/>
        <v>8258.6370755155222</v>
      </c>
      <c r="K37">
        <f t="shared" ca="1" si="7"/>
        <v>14</v>
      </c>
      <c r="L37">
        <f ca="1">MIN(DATEDIF(Tabla1[[#This Row],[FechaDesembolso]],TODAY(),"m"),Tabla1[[#This Row],[Plazos (Meses)]])</f>
        <v>14</v>
      </c>
      <c r="M37">
        <f t="shared" ca="1" si="4"/>
        <v>0</v>
      </c>
      <c r="N37" s="8" t="s">
        <v>1251</v>
      </c>
      <c r="O37" s="8" t="s">
        <v>1253</v>
      </c>
      <c r="P37" s="13">
        <f t="shared" ca="1" si="6"/>
        <v>0</v>
      </c>
      <c r="Q3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7" s="8" t="str">
        <f t="shared" ca="1" si="5"/>
        <v>Cancelado</v>
      </c>
      <c r="S37" t="str">
        <f ca="1">IF(Tabla1[[#This Row],[En Mora]]="No","",DATEDIF((EDATE(Tabla1[[#This Row],[FechaDesembolso]],Tabla1[[#This Row],[Mes de Mora]])),TODAY(),"d"))</f>
        <v/>
      </c>
    </row>
    <row r="38" spans="1:19" x14ac:dyDescent="0.25">
      <c r="A38" t="s">
        <v>880</v>
      </c>
      <c r="B38" t="s">
        <v>468</v>
      </c>
      <c r="C38" s="8" t="s">
        <v>31</v>
      </c>
      <c r="D38" s="8" t="str">
        <f>_xlfn.XLOOKUP(B38,Clientes!A:A,Clientes!G:G,"No encontrado",0)</f>
        <v>AG06</v>
      </c>
      <c r="E38" s="9">
        <v>45814</v>
      </c>
      <c r="F38" s="11">
        <v>10344</v>
      </c>
      <c r="G38" s="10">
        <v>0.43072555114824462</v>
      </c>
      <c r="H38" s="10">
        <f t="shared" si="2"/>
        <v>3.0298405646123294E-2</v>
      </c>
      <c r="I38">
        <v>24</v>
      </c>
      <c r="J38" s="12">
        <f t="shared" si="3"/>
        <v>612.75151335783426</v>
      </c>
      <c r="K38">
        <f t="shared" ca="1" si="7"/>
        <v>3</v>
      </c>
      <c r="L38">
        <f ca="1">MIN(DATEDIF(Tabla1[[#This Row],[FechaDesembolso]],TODAY(),"m"),Tabla1[[#This Row],[Plazos (Meses)]])</f>
        <v>14</v>
      </c>
      <c r="M38">
        <f t="shared" ca="1" si="4"/>
        <v>21</v>
      </c>
      <c r="N38" s="8" t="s">
        <v>1252</v>
      </c>
      <c r="O38" s="8">
        <v>3</v>
      </c>
      <c r="P38" s="13">
        <f t="shared" ca="1" si="6"/>
        <v>10344</v>
      </c>
      <c r="Q3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545.25454007350277</v>
      </c>
      <c r="R38" s="8" t="str">
        <f t="shared" si="5"/>
        <v>En mora</v>
      </c>
      <c r="S38">
        <f ca="1">IF(Tabla1[[#This Row],[En Mora]]="No","",DATEDIF((EDATE(Tabla1[[#This Row],[FechaDesembolso]],Tabla1[[#This Row],[Mes de Mora]])),TODAY(),"d"))</f>
        <v>340</v>
      </c>
    </row>
    <row r="39" spans="1:19" x14ac:dyDescent="0.25">
      <c r="A39" t="s">
        <v>881</v>
      </c>
      <c r="B39" t="s">
        <v>201</v>
      </c>
      <c r="C39" s="8" t="s">
        <v>35</v>
      </c>
      <c r="D39" s="8" t="str">
        <f>_xlfn.XLOOKUP(B39,Clientes!A:A,Clientes!G:G,"No encontrado",0)</f>
        <v>AG05</v>
      </c>
      <c r="E39" s="9">
        <v>46123</v>
      </c>
      <c r="F39" s="11">
        <v>27960</v>
      </c>
      <c r="G39" s="10">
        <v>0.2546044862097524</v>
      </c>
      <c r="H39" s="10">
        <f t="shared" si="2"/>
        <v>1.9081465648463691E-2</v>
      </c>
      <c r="I39">
        <v>38</v>
      </c>
      <c r="J39" s="12">
        <f t="shared" si="3"/>
        <v>1041.2088761915925</v>
      </c>
      <c r="K39">
        <f t="shared" ca="1" si="7"/>
        <v>4</v>
      </c>
      <c r="L39">
        <f ca="1">MIN(DATEDIF(Tabla1[[#This Row],[FechaDesembolso]],TODAY(),"m"),Tabla1[[#This Row],[Plazos (Meses)]])</f>
        <v>4</v>
      </c>
      <c r="M39">
        <f t="shared" ca="1" si="4"/>
        <v>34</v>
      </c>
      <c r="N39" s="8" t="s">
        <v>1251</v>
      </c>
      <c r="O39" s="8" t="s">
        <v>1253</v>
      </c>
      <c r="P39" s="13">
        <f t="shared" ca="1" si="6"/>
        <v>27959.999999999993</v>
      </c>
      <c r="Q3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1221.6776100295276</v>
      </c>
      <c r="R39" s="8" t="str">
        <f t="shared" ca="1" si="5"/>
        <v>Vigente</v>
      </c>
      <c r="S39" t="str">
        <f ca="1">IF(Tabla1[[#This Row],[En Mora]]="No","",DATEDIF((EDATE(Tabla1[[#This Row],[FechaDesembolso]],Tabla1[[#This Row],[Mes de Mora]])),TODAY(),"d"))</f>
        <v/>
      </c>
    </row>
    <row r="40" spans="1:19" x14ac:dyDescent="0.25">
      <c r="A40" t="s">
        <v>882</v>
      </c>
      <c r="B40" t="s">
        <v>173</v>
      </c>
      <c r="C40" s="8" t="s">
        <v>37</v>
      </c>
      <c r="D40" s="8" t="str">
        <f>_xlfn.XLOOKUP(B40,Clientes!A:A,Clientes!G:G,"No encontrado",0)</f>
        <v>AG07</v>
      </c>
      <c r="E40" s="9">
        <v>45225</v>
      </c>
      <c r="F40" s="11">
        <v>75554</v>
      </c>
      <c r="G40" s="10">
        <v>0.12411913644515352</v>
      </c>
      <c r="H40" s="10">
        <f t="shared" si="2"/>
        <v>9.7976641519450514E-3</v>
      </c>
      <c r="I40">
        <v>82</v>
      </c>
      <c r="J40" s="12">
        <f t="shared" si="3"/>
        <v>1344.824689644739</v>
      </c>
      <c r="K40">
        <f t="shared" ca="1" si="7"/>
        <v>33</v>
      </c>
      <c r="L40">
        <f ca="1">MIN(DATEDIF(Tabla1[[#This Row],[FechaDesembolso]],TODAY(),"m"),Tabla1[[#This Row],[Plazos (Meses)]])</f>
        <v>33</v>
      </c>
      <c r="M40">
        <f t="shared" ca="1" si="4"/>
        <v>49</v>
      </c>
      <c r="N40" s="8" t="s">
        <v>1251</v>
      </c>
      <c r="O40" s="8" t="s">
        <v>1253</v>
      </c>
      <c r="P40" s="13">
        <f t="shared" ca="1" si="6"/>
        <v>75553.999999999942</v>
      </c>
      <c r="Q4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13973.336709495899</v>
      </c>
      <c r="R40" s="8" t="str">
        <f t="shared" ca="1" si="5"/>
        <v>Vigente</v>
      </c>
      <c r="S40" t="str">
        <f ca="1">IF(Tabla1[[#This Row],[En Mora]]="No","",DATEDIF((EDATE(Tabla1[[#This Row],[FechaDesembolso]],Tabla1[[#This Row],[Mes de Mora]])),TODAY(),"d"))</f>
        <v/>
      </c>
    </row>
    <row r="41" spans="1:19" x14ac:dyDescent="0.25">
      <c r="A41" t="s">
        <v>883</v>
      </c>
      <c r="B41" t="s">
        <v>419</v>
      </c>
      <c r="C41" s="8" t="s">
        <v>37</v>
      </c>
      <c r="D41" s="8" t="str">
        <f>_xlfn.XLOOKUP(B41,Clientes!A:A,Clientes!G:G,"No encontrado",0)</f>
        <v>AG03</v>
      </c>
      <c r="E41" s="9">
        <v>45467</v>
      </c>
      <c r="F41" s="11">
        <v>111764</v>
      </c>
      <c r="G41" s="10">
        <v>0.11798687653549855</v>
      </c>
      <c r="H41" s="10">
        <f t="shared" si="2"/>
        <v>9.3374609632164152E-3</v>
      </c>
      <c r="I41">
        <v>213</v>
      </c>
      <c r="J41" s="12">
        <f t="shared" si="3"/>
        <v>1210.8285028798211</v>
      </c>
      <c r="K41">
        <f t="shared" ca="1" si="7"/>
        <v>25</v>
      </c>
      <c r="L41">
        <f ca="1">MIN(DATEDIF(Tabla1[[#This Row],[FechaDesembolso]],TODAY(),"m"),Tabla1[[#This Row],[Plazos (Meses)]])</f>
        <v>25</v>
      </c>
      <c r="M41">
        <f t="shared" ca="1" si="4"/>
        <v>188</v>
      </c>
      <c r="N41" s="8" t="s">
        <v>1251</v>
      </c>
      <c r="O41" s="8" t="s">
        <v>1253</v>
      </c>
      <c r="P41" s="13">
        <f t="shared" ca="1" si="6"/>
        <v>111763.99999999991</v>
      </c>
      <c r="Q4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17152.872196408673</v>
      </c>
      <c r="R41" s="8" t="str">
        <f t="shared" ca="1" si="5"/>
        <v>Vigente</v>
      </c>
      <c r="S41" t="str">
        <f ca="1">IF(Tabla1[[#This Row],[En Mora]]="No","",DATEDIF((EDATE(Tabla1[[#This Row],[FechaDesembolso]],Tabla1[[#This Row],[Mes de Mora]])),TODAY(),"d"))</f>
        <v/>
      </c>
    </row>
    <row r="42" spans="1:19" x14ac:dyDescent="0.25">
      <c r="A42" t="s">
        <v>884</v>
      </c>
      <c r="B42" t="s">
        <v>537</v>
      </c>
      <c r="C42" s="8" t="s">
        <v>33</v>
      </c>
      <c r="D42" s="8" t="str">
        <f>_xlfn.XLOOKUP(B42,Clientes!A:A,Clientes!G:G,"No encontrado",0)</f>
        <v>AG04</v>
      </c>
      <c r="E42" s="9">
        <v>45289</v>
      </c>
      <c r="F42" s="11">
        <v>35157</v>
      </c>
      <c r="G42" s="10">
        <v>0.25223684247929851</v>
      </c>
      <c r="H42" s="10">
        <f t="shared" si="2"/>
        <v>1.8921062419182011E-2</v>
      </c>
      <c r="I42">
        <v>48</v>
      </c>
      <c r="J42" s="12">
        <f t="shared" si="3"/>
        <v>1121.1641805620663</v>
      </c>
      <c r="K42">
        <f t="shared" ca="1" si="7"/>
        <v>31</v>
      </c>
      <c r="L42">
        <f ca="1">MIN(DATEDIF(Tabla1[[#This Row],[FechaDesembolso]],TODAY(),"m"),Tabla1[[#This Row],[Plazos (Meses)]])</f>
        <v>31</v>
      </c>
      <c r="M42">
        <f t="shared" ca="1" si="4"/>
        <v>17</v>
      </c>
      <c r="N42" s="8" t="s">
        <v>1251</v>
      </c>
      <c r="O42" s="8" t="s">
        <v>1253</v>
      </c>
      <c r="P42" s="13">
        <f t="shared" ca="1" si="6"/>
        <v>35157.000000000007</v>
      </c>
      <c r="Q4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12050.527097424056</v>
      </c>
      <c r="R42" s="8" t="str">
        <f t="shared" ca="1" si="5"/>
        <v>Vigente</v>
      </c>
      <c r="S42" t="str">
        <f ca="1">IF(Tabla1[[#This Row],[En Mora]]="No","",DATEDIF((EDATE(Tabla1[[#This Row],[FechaDesembolso]],Tabla1[[#This Row],[Mes de Mora]])),TODAY(),"d"))</f>
        <v/>
      </c>
    </row>
    <row r="43" spans="1:19" x14ac:dyDescent="0.25">
      <c r="A43" t="s">
        <v>885</v>
      </c>
      <c r="B43" t="s">
        <v>288</v>
      </c>
      <c r="C43" s="8" t="s">
        <v>35</v>
      </c>
      <c r="D43" s="8" t="str">
        <f>_xlfn.XLOOKUP(B43,Clientes!A:A,Clientes!G:G,"No encontrado",0)</f>
        <v>AG04</v>
      </c>
      <c r="E43" s="9">
        <v>45499</v>
      </c>
      <c r="F43" s="11">
        <v>11446</v>
      </c>
      <c r="G43" s="10">
        <v>0.24817028769552738</v>
      </c>
      <c r="H43" s="10">
        <f t="shared" si="2"/>
        <v>1.8644911360530703E-2</v>
      </c>
      <c r="I43">
        <v>32</v>
      </c>
      <c r="J43" s="12">
        <f t="shared" si="3"/>
        <v>478.16883538890073</v>
      </c>
      <c r="K43">
        <f t="shared" ca="1" si="7"/>
        <v>24</v>
      </c>
      <c r="L43">
        <f ca="1">MIN(DATEDIF(Tabla1[[#This Row],[FechaDesembolso]],TODAY(),"m"),Tabla1[[#This Row],[Plazos (Meses)]])</f>
        <v>24</v>
      </c>
      <c r="M43">
        <f t="shared" ca="1" si="4"/>
        <v>8</v>
      </c>
      <c r="N43" s="8" t="s">
        <v>1251</v>
      </c>
      <c r="O43" s="8" t="s">
        <v>1253</v>
      </c>
      <c r="P43" s="13">
        <f t="shared" ca="1" si="6"/>
        <v>11446.000000000018</v>
      </c>
      <c r="Q4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2891.5520493336176</v>
      </c>
      <c r="R43" s="8" t="str">
        <f t="shared" ca="1" si="5"/>
        <v>Vigente</v>
      </c>
      <c r="S43" t="str">
        <f ca="1">IF(Tabla1[[#This Row],[En Mora]]="No","",DATEDIF((EDATE(Tabla1[[#This Row],[FechaDesembolso]],Tabla1[[#This Row],[Mes de Mora]])),TODAY(),"d"))</f>
        <v/>
      </c>
    </row>
    <row r="44" spans="1:19" x14ac:dyDescent="0.25">
      <c r="A44" t="s">
        <v>886</v>
      </c>
      <c r="B44" t="s">
        <v>80</v>
      </c>
      <c r="C44" s="8" t="s">
        <v>35</v>
      </c>
      <c r="D44" s="8" t="str">
        <f>_xlfn.XLOOKUP(B44,Clientes!A:A,Clientes!G:G,"No encontrado",0)</f>
        <v>AG04</v>
      </c>
      <c r="E44" s="9">
        <v>46044</v>
      </c>
      <c r="F44" s="11">
        <v>88245</v>
      </c>
      <c r="G44" s="10">
        <v>0.31535230441136491</v>
      </c>
      <c r="H44" s="10">
        <f t="shared" si="2"/>
        <v>2.3104922402952699E-2</v>
      </c>
      <c r="I44">
        <v>37</v>
      </c>
      <c r="J44" s="12">
        <f t="shared" si="3"/>
        <v>3573.8122778447751</v>
      </c>
      <c r="K44">
        <f t="shared" ca="1" si="7"/>
        <v>6</v>
      </c>
      <c r="L44">
        <f ca="1">MIN(DATEDIF(Tabla1[[#This Row],[FechaDesembolso]],TODAY(),"m"),Tabla1[[#This Row],[Plazos (Meses)]])</f>
        <v>6</v>
      </c>
      <c r="M44">
        <f t="shared" ca="1" si="4"/>
        <v>31</v>
      </c>
      <c r="N44" s="8" t="s">
        <v>1251</v>
      </c>
      <c r="O44" s="8" t="s">
        <v>1253</v>
      </c>
      <c r="P44" s="13">
        <f t="shared" ca="1" si="6"/>
        <v>88245.000000000044</v>
      </c>
      <c r="Q4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7132.8736670686512</v>
      </c>
      <c r="R44" s="8" t="str">
        <f t="shared" ca="1" si="5"/>
        <v>Vigente</v>
      </c>
      <c r="S44" t="str">
        <f ca="1">IF(Tabla1[[#This Row],[En Mora]]="No","",DATEDIF((EDATE(Tabla1[[#This Row],[FechaDesembolso]],Tabla1[[#This Row],[Mes de Mora]])),TODAY(),"d"))</f>
        <v/>
      </c>
    </row>
    <row r="45" spans="1:19" x14ac:dyDescent="0.25">
      <c r="A45" t="s">
        <v>887</v>
      </c>
      <c r="B45" t="s">
        <v>681</v>
      </c>
      <c r="C45" s="8" t="s">
        <v>33</v>
      </c>
      <c r="D45" s="8" t="str">
        <f>_xlfn.XLOOKUP(B45,Clientes!A:A,Clientes!G:G,"No encontrado",0)</f>
        <v>AG04</v>
      </c>
      <c r="E45" s="9">
        <v>46047</v>
      </c>
      <c r="F45" s="11">
        <v>17220</v>
      </c>
      <c r="G45" s="10">
        <v>0.36689347004289585</v>
      </c>
      <c r="H45" s="10">
        <f t="shared" si="2"/>
        <v>2.6387188309833665E-2</v>
      </c>
      <c r="I45">
        <v>39</v>
      </c>
      <c r="J45" s="12">
        <f t="shared" si="3"/>
        <v>712.34905055526588</v>
      </c>
      <c r="K45">
        <f t="shared" ca="1" si="7"/>
        <v>6</v>
      </c>
      <c r="L45">
        <f ca="1">MIN(DATEDIF(Tabla1[[#This Row],[FechaDesembolso]],TODAY(),"m"),Tabla1[[#This Row],[Plazos (Meses)]])</f>
        <v>6</v>
      </c>
      <c r="M45">
        <f t="shared" ca="1" si="4"/>
        <v>33</v>
      </c>
      <c r="N45" s="8" t="s">
        <v>1251</v>
      </c>
      <c r="O45" s="8" t="s">
        <v>1253</v>
      </c>
      <c r="P45" s="13">
        <f t="shared" ca="1" si="6"/>
        <v>17220.000000000004</v>
      </c>
      <c r="Q4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1624.8635341008262</v>
      </c>
      <c r="R45" s="8" t="str">
        <f t="shared" ca="1" si="5"/>
        <v>Vigente</v>
      </c>
      <c r="S45" t="str">
        <f ca="1">IF(Tabla1[[#This Row],[En Mora]]="No","",DATEDIF((EDATE(Tabla1[[#This Row],[FechaDesembolso]],Tabla1[[#This Row],[Mes de Mora]])),TODAY(),"d"))</f>
        <v/>
      </c>
    </row>
    <row r="46" spans="1:19" x14ac:dyDescent="0.25">
      <c r="A46" t="s">
        <v>888</v>
      </c>
      <c r="B46" t="s">
        <v>603</v>
      </c>
      <c r="C46" s="8" t="s">
        <v>31</v>
      </c>
      <c r="D46" s="8" t="str">
        <f>_xlfn.XLOOKUP(B46,Clientes!A:A,Clientes!G:G,"No encontrado",0)</f>
        <v>AG03</v>
      </c>
      <c r="E46" s="9">
        <v>45632</v>
      </c>
      <c r="F46" s="11">
        <v>14362</v>
      </c>
      <c r="G46" s="10">
        <v>0.44371432204828665</v>
      </c>
      <c r="H46" s="10">
        <f t="shared" si="2"/>
        <v>3.1074640448629953E-2</v>
      </c>
      <c r="I46">
        <v>17</v>
      </c>
      <c r="J46" s="12">
        <f t="shared" si="3"/>
        <v>1100.2910126659665</v>
      </c>
      <c r="K46">
        <f t="shared" ca="1" si="7"/>
        <v>17</v>
      </c>
      <c r="L46">
        <f ca="1">MIN(DATEDIF(Tabla1[[#This Row],[FechaDesembolso]],TODAY(),"m"),Tabla1[[#This Row],[Plazos (Meses)]])</f>
        <v>17</v>
      </c>
      <c r="M46">
        <f t="shared" ca="1" si="4"/>
        <v>0</v>
      </c>
      <c r="N46" s="8" t="s">
        <v>1251</v>
      </c>
      <c r="O46" s="8" t="s">
        <v>1253</v>
      </c>
      <c r="P46" s="13">
        <f t="shared" ca="1" si="6"/>
        <v>0</v>
      </c>
      <c r="Q4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46" s="8" t="str">
        <f t="shared" ca="1" si="5"/>
        <v>Cancelado</v>
      </c>
      <c r="S46" t="str">
        <f ca="1">IF(Tabla1[[#This Row],[En Mora]]="No","",DATEDIF((EDATE(Tabla1[[#This Row],[FechaDesembolso]],Tabla1[[#This Row],[Mes de Mora]])),TODAY(),"d"))</f>
        <v/>
      </c>
    </row>
    <row r="47" spans="1:19" x14ac:dyDescent="0.25">
      <c r="A47" t="s">
        <v>889</v>
      </c>
      <c r="B47" t="s">
        <v>621</v>
      </c>
      <c r="C47" s="8" t="s">
        <v>33</v>
      </c>
      <c r="D47" s="8" t="str">
        <f>_xlfn.XLOOKUP(B47,Clientes!A:A,Clientes!G:G,"No encontrado",0)</f>
        <v>AG07</v>
      </c>
      <c r="E47" s="9">
        <v>45179</v>
      </c>
      <c r="F47" s="11">
        <v>19557</v>
      </c>
      <c r="G47" s="10">
        <v>0.4328067162318493</v>
      </c>
      <c r="H47" s="10">
        <f t="shared" si="2"/>
        <v>3.042321369874923E-2</v>
      </c>
      <c r="I47">
        <v>45</v>
      </c>
      <c r="J47" s="12">
        <f t="shared" si="3"/>
        <v>803.59649068687713</v>
      </c>
      <c r="K47">
        <f t="shared" ca="1" si="7"/>
        <v>35</v>
      </c>
      <c r="L47">
        <f ca="1">MIN(DATEDIF(Tabla1[[#This Row],[FechaDesembolso]],TODAY(),"m"),Tabla1[[#This Row],[Plazos (Meses)]])</f>
        <v>35</v>
      </c>
      <c r="M47">
        <f t="shared" ca="1" si="4"/>
        <v>10</v>
      </c>
      <c r="N47" s="8" t="s">
        <v>1251</v>
      </c>
      <c r="O47" s="8" t="s">
        <v>1253</v>
      </c>
      <c r="P47" s="13">
        <f t="shared" ca="1" si="6"/>
        <v>19557</v>
      </c>
      <c r="Q4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12914.877174040697</v>
      </c>
      <c r="R47" s="8" t="str">
        <f t="shared" ca="1" si="5"/>
        <v>Vigente</v>
      </c>
      <c r="S47" t="str">
        <f ca="1">IF(Tabla1[[#This Row],[En Mora]]="No","",DATEDIF((EDATE(Tabla1[[#This Row],[FechaDesembolso]],Tabla1[[#This Row],[Mes de Mora]])),TODAY(),"d"))</f>
        <v/>
      </c>
    </row>
    <row r="48" spans="1:19" x14ac:dyDescent="0.25">
      <c r="A48" t="s">
        <v>890</v>
      </c>
      <c r="B48" t="s">
        <v>793</v>
      </c>
      <c r="C48" s="8" t="s">
        <v>33</v>
      </c>
      <c r="D48" s="8" t="str">
        <f>_xlfn.XLOOKUP(B48,Clientes!A:A,Clientes!G:G,"No encontrado",0)</f>
        <v>AG03</v>
      </c>
      <c r="E48" s="9">
        <v>45798</v>
      </c>
      <c r="F48" s="11">
        <v>47168</v>
      </c>
      <c r="G48" s="10">
        <v>0.37901680727240128</v>
      </c>
      <c r="H48" s="10">
        <f t="shared" si="2"/>
        <v>2.7142730001408655E-2</v>
      </c>
      <c r="I48">
        <v>28</v>
      </c>
      <c r="J48" s="12">
        <f t="shared" si="3"/>
        <v>2426.7279929769193</v>
      </c>
      <c r="K48">
        <f t="shared" ca="1" si="7"/>
        <v>14</v>
      </c>
      <c r="L48">
        <f ca="1">MIN(DATEDIF(Tabla1[[#This Row],[FechaDesembolso]],TODAY(),"m"),Tabla1[[#This Row],[Plazos (Meses)]])</f>
        <v>14</v>
      </c>
      <c r="M48">
        <f t="shared" ca="1" si="4"/>
        <v>14</v>
      </c>
      <c r="N48" s="8" t="s">
        <v>1251</v>
      </c>
      <c r="O48" s="8" t="s">
        <v>1253</v>
      </c>
      <c r="P48" s="13">
        <f t="shared" ca="1" si="6"/>
        <v>47168.000000000058</v>
      </c>
      <c r="Q4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10390.191901676866</v>
      </c>
      <c r="R48" s="8" t="str">
        <f t="shared" ca="1" si="5"/>
        <v>Vigente</v>
      </c>
      <c r="S48" t="str">
        <f ca="1">IF(Tabla1[[#This Row],[En Mora]]="No","",DATEDIF((EDATE(Tabla1[[#This Row],[FechaDesembolso]],Tabla1[[#This Row],[Mes de Mora]])),TODAY(),"d"))</f>
        <v/>
      </c>
    </row>
    <row r="49" spans="1:19" x14ac:dyDescent="0.25">
      <c r="A49" t="s">
        <v>891</v>
      </c>
      <c r="B49" t="s">
        <v>609</v>
      </c>
      <c r="C49" s="8" t="s">
        <v>39</v>
      </c>
      <c r="D49" s="8" t="str">
        <f>_xlfn.XLOOKUP(B49,Clientes!A:A,Clientes!G:G,"No encontrado",0)</f>
        <v>AG08</v>
      </c>
      <c r="E49" s="9">
        <v>45993</v>
      </c>
      <c r="F49" s="11">
        <v>16164</v>
      </c>
      <c r="G49" s="10">
        <v>0.23602966641701378</v>
      </c>
      <c r="H49" s="10">
        <f t="shared" si="2"/>
        <v>1.7815533326820399E-2</v>
      </c>
      <c r="I49">
        <v>18</v>
      </c>
      <c r="J49" s="12">
        <f t="shared" si="3"/>
        <v>1057.5757287861652</v>
      </c>
      <c r="K49">
        <f t="shared" ca="1" si="7"/>
        <v>8</v>
      </c>
      <c r="L49">
        <f ca="1">MIN(DATEDIF(Tabla1[[#This Row],[FechaDesembolso]],TODAY(),"m"),Tabla1[[#This Row],[Plazos (Meses)]])</f>
        <v>8</v>
      </c>
      <c r="M49">
        <f t="shared" ca="1" si="4"/>
        <v>10</v>
      </c>
      <c r="N49" s="8" t="s">
        <v>1251</v>
      </c>
      <c r="O49" s="8" t="s">
        <v>1253</v>
      </c>
      <c r="P49" s="13">
        <f t="shared" ca="1" si="6"/>
        <v>16163.999999999967</v>
      </c>
      <c r="Q4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1276.6058302893216</v>
      </c>
      <c r="R49" s="8" t="str">
        <f t="shared" ca="1" si="5"/>
        <v>Vigente</v>
      </c>
      <c r="S49" t="str">
        <f ca="1">IF(Tabla1[[#This Row],[En Mora]]="No","",DATEDIF((EDATE(Tabla1[[#This Row],[FechaDesembolso]],Tabla1[[#This Row],[Mes de Mora]])),TODAY(),"d"))</f>
        <v/>
      </c>
    </row>
    <row r="50" spans="1:19" x14ac:dyDescent="0.25">
      <c r="A50" t="s">
        <v>892</v>
      </c>
      <c r="B50" t="s">
        <v>392</v>
      </c>
      <c r="C50" s="8" t="s">
        <v>31</v>
      </c>
      <c r="D50" s="8" t="str">
        <f>_xlfn.XLOOKUP(B50,Clientes!A:A,Clientes!G:G,"No encontrado",0)</f>
        <v>AG03</v>
      </c>
      <c r="E50" s="9">
        <v>44913</v>
      </c>
      <c r="F50" s="11">
        <v>5844</v>
      </c>
      <c r="G50" s="10">
        <v>0.39581595399795377</v>
      </c>
      <c r="H50" s="10">
        <f t="shared" si="2"/>
        <v>2.8179671818742813E-2</v>
      </c>
      <c r="I50">
        <v>25</v>
      </c>
      <c r="J50" s="12">
        <f t="shared" si="3"/>
        <v>328.83793478360212</v>
      </c>
      <c r="K50">
        <f t="shared" ca="1" si="7"/>
        <v>25</v>
      </c>
      <c r="L50">
        <f ca="1">MIN(DATEDIF(Tabla1[[#This Row],[FechaDesembolso]],TODAY(),"m"),Tabla1[[#This Row],[Plazos (Meses)]])</f>
        <v>25</v>
      </c>
      <c r="M50">
        <f t="shared" ca="1" si="4"/>
        <v>0</v>
      </c>
      <c r="N50" s="8" t="s">
        <v>1251</v>
      </c>
      <c r="O50" s="8" t="s">
        <v>1253</v>
      </c>
      <c r="P50" s="13">
        <f t="shared" ca="1" si="6"/>
        <v>0</v>
      </c>
      <c r="Q5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50" s="8" t="str">
        <f t="shared" ca="1" si="5"/>
        <v>Cancelado</v>
      </c>
      <c r="S50" t="str">
        <f ca="1">IF(Tabla1[[#This Row],[En Mora]]="No","",DATEDIF((EDATE(Tabla1[[#This Row],[FechaDesembolso]],Tabla1[[#This Row],[Mes de Mora]])),TODAY(),"d"))</f>
        <v/>
      </c>
    </row>
    <row r="51" spans="1:19" x14ac:dyDescent="0.25">
      <c r="A51" t="s">
        <v>893</v>
      </c>
      <c r="B51" t="s">
        <v>693</v>
      </c>
      <c r="C51" s="8" t="s">
        <v>35</v>
      </c>
      <c r="D51" s="8" t="str">
        <f>_xlfn.XLOOKUP(B51,Clientes!A:A,Clientes!G:G,"No encontrado",0)</f>
        <v>AG08</v>
      </c>
      <c r="E51" s="9">
        <v>45812</v>
      </c>
      <c r="F51" s="11">
        <v>53543</v>
      </c>
      <c r="G51" s="10">
        <v>0.31648604868374342</v>
      </c>
      <c r="H51" s="10">
        <f t="shared" si="2"/>
        <v>2.3178380628906536E-2</v>
      </c>
      <c r="I51">
        <v>46</v>
      </c>
      <c r="J51" s="12">
        <f t="shared" si="3"/>
        <v>1904.9782974181462</v>
      </c>
      <c r="K51">
        <f t="shared" ca="1" si="7"/>
        <v>14</v>
      </c>
      <c r="L51">
        <f ca="1">MIN(DATEDIF(Tabla1[[#This Row],[FechaDesembolso]],TODAY(),"m"),Tabla1[[#This Row],[Plazos (Meses)]])</f>
        <v>14</v>
      </c>
      <c r="M51">
        <f t="shared" ca="1" si="4"/>
        <v>32</v>
      </c>
      <c r="N51" s="8" t="s">
        <v>1251</v>
      </c>
      <c r="O51" s="8" t="s">
        <v>1253</v>
      </c>
      <c r="P51" s="13">
        <f t="shared" ca="1" si="6"/>
        <v>53543.000000000102</v>
      </c>
      <c r="Q5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10374.000511680137</v>
      </c>
      <c r="R51" s="8" t="str">
        <f t="shared" ca="1" si="5"/>
        <v>Vigente</v>
      </c>
      <c r="S51" t="str">
        <f ca="1">IF(Tabla1[[#This Row],[En Mora]]="No","",DATEDIF((EDATE(Tabla1[[#This Row],[FechaDesembolso]],Tabla1[[#This Row],[Mes de Mora]])),TODAY(),"d"))</f>
        <v/>
      </c>
    </row>
    <row r="52" spans="1:19" x14ac:dyDescent="0.25">
      <c r="A52" t="s">
        <v>894</v>
      </c>
      <c r="B52" t="s">
        <v>753</v>
      </c>
      <c r="C52" s="8" t="s">
        <v>37</v>
      </c>
      <c r="D52" s="8" t="str">
        <f>_xlfn.XLOOKUP(B52,Clientes!A:A,Clientes!G:G,"No encontrado",0)</f>
        <v>AG08</v>
      </c>
      <c r="E52" s="9">
        <v>46141</v>
      </c>
      <c r="F52" s="11">
        <v>274484</v>
      </c>
      <c r="G52" s="10">
        <v>0.12152458880310056</v>
      </c>
      <c r="H52" s="10">
        <f t="shared" si="2"/>
        <v>9.6032345957173249E-3</v>
      </c>
      <c r="I52">
        <v>63</v>
      </c>
      <c r="J52" s="12">
        <f t="shared" si="3"/>
        <v>5827.2122455272138</v>
      </c>
      <c r="K52">
        <f t="shared" ca="1" si="7"/>
        <v>3</v>
      </c>
      <c r="L52">
        <f ca="1">MIN(DATEDIF(Tabla1[[#This Row],[FechaDesembolso]],TODAY(),"m"),Tabla1[[#This Row],[Plazos (Meses)]])</f>
        <v>3</v>
      </c>
      <c r="M52">
        <f t="shared" ca="1" si="4"/>
        <v>60</v>
      </c>
      <c r="N52" s="8" t="s">
        <v>1251</v>
      </c>
      <c r="O52" s="8" t="s">
        <v>1253</v>
      </c>
      <c r="P52" s="13">
        <f t="shared" ca="1" si="6"/>
        <v>274484.00000000023</v>
      </c>
      <c r="Q5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4410.9700699149753</v>
      </c>
      <c r="R52" s="8" t="str">
        <f t="shared" ca="1" si="5"/>
        <v>Vigente</v>
      </c>
      <c r="S52" t="str">
        <f ca="1">IF(Tabla1[[#This Row],[En Mora]]="No","",DATEDIF((EDATE(Tabla1[[#This Row],[FechaDesembolso]],Tabla1[[#This Row],[Mes de Mora]])),TODAY(),"d"))</f>
        <v/>
      </c>
    </row>
    <row r="53" spans="1:19" x14ac:dyDescent="0.25">
      <c r="A53" t="s">
        <v>895</v>
      </c>
      <c r="B53" t="s">
        <v>441</v>
      </c>
      <c r="C53" s="8" t="s">
        <v>31</v>
      </c>
      <c r="D53" s="8" t="str">
        <f>_xlfn.XLOOKUP(B53,Clientes!A:A,Clientes!G:G,"No encontrado",0)</f>
        <v>AG03</v>
      </c>
      <c r="E53" s="9">
        <v>46184</v>
      </c>
      <c r="F53" s="11">
        <v>5048</v>
      </c>
      <c r="G53" s="10">
        <v>0.48209685486319442</v>
      </c>
      <c r="H53" s="10">
        <f t="shared" si="2"/>
        <v>3.333161154492803E-2</v>
      </c>
      <c r="I53">
        <v>11</v>
      </c>
      <c r="J53" s="12">
        <f t="shared" si="3"/>
        <v>555.69057404268847</v>
      </c>
      <c r="K53">
        <f t="shared" ca="1" si="7"/>
        <v>2</v>
      </c>
      <c r="L53">
        <f ca="1">MIN(DATEDIF(Tabla1[[#This Row],[FechaDesembolso]],TODAY(),"m"),Tabla1[[#This Row],[Plazos (Meses)]])</f>
        <v>2</v>
      </c>
      <c r="M53">
        <f t="shared" ca="1" si="4"/>
        <v>9</v>
      </c>
      <c r="N53" s="8" t="s">
        <v>1251</v>
      </c>
      <c r="O53" s="8" t="s">
        <v>1253</v>
      </c>
      <c r="P53" s="13">
        <f t="shared" ca="1" si="6"/>
        <v>5047.9999999999964</v>
      </c>
      <c r="Q5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193.56296626719515</v>
      </c>
      <c r="R53" s="8" t="str">
        <f t="shared" ca="1" si="5"/>
        <v>Vigente</v>
      </c>
      <c r="S53" t="str">
        <f ca="1">IF(Tabla1[[#This Row],[En Mora]]="No","",DATEDIF((EDATE(Tabla1[[#This Row],[FechaDesembolso]],Tabla1[[#This Row],[Mes de Mora]])),TODAY(),"d"))</f>
        <v/>
      </c>
    </row>
    <row r="54" spans="1:19" x14ac:dyDescent="0.25">
      <c r="A54" t="s">
        <v>896</v>
      </c>
      <c r="B54" t="s">
        <v>531</v>
      </c>
      <c r="C54" s="8" t="s">
        <v>37</v>
      </c>
      <c r="D54" s="8" t="str">
        <f>_xlfn.XLOOKUP(B54,Clientes!A:A,Clientes!G:G,"No encontrado",0)</f>
        <v>AG03</v>
      </c>
      <c r="E54" s="9">
        <v>46029</v>
      </c>
      <c r="F54" s="11">
        <v>124922</v>
      </c>
      <c r="G54" s="10">
        <v>0.12982130614252749</v>
      </c>
      <c r="H54" s="10">
        <f t="shared" si="2"/>
        <v>1.0223530478814302E-2</v>
      </c>
      <c r="I54">
        <v>202</v>
      </c>
      <c r="J54" s="12">
        <f t="shared" si="3"/>
        <v>1464.8419412472774</v>
      </c>
      <c r="K54">
        <f t="shared" ca="1" si="7"/>
        <v>4</v>
      </c>
      <c r="L54">
        <f ca="1">MIN(DATEDIF(Tabla1[[#This Row],[FechaDesembolso]],TODAY(),"m"),Tabla1[[#This Row],[Plazos (Meses)]])</f>
        <v>7</v>
      </c>
      <c r="M54">
        <f t="shared" ca="1" si="4"/>
        <v>198</v>
      </c>
      <c r="N54" s="8" t="s">
        <v>1252</v>
      </c>
      <c r="O54" s="8">
        <v>4</v>
      </c>
      <c r="P54" s="13">
        <f t="shared" ca="1" si="6"/>
        <v>124922.00000000015</v>
      </c>
      <c r="Q5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3385.6647946920802</v>
      </c>
      <c r="R54" s="8" t="str">
        <f t="shared" si="5"/>
        <v>En mora</v>
      </c>
      <c r="S54">
        <f ca="1">IF(Tabla1[[#This Row],[En Mora]]="No","",DATEDIF((EDATE(Tabla1[[#This Row],[FechaDesembolso]],Tabla1[[#This Row],[Mes de Mora]])),TODAY(),"d"))</f>
        <v>97</v>
      </c>
    </row>
    <row r="55" spans="1:19" x14ac:dyDescent="0.25">
      <c r="A55" t="s">
        <v>897</v>
      </c>
      <c r="B55" t="s">
        <v>166</v>
      </c>
      <c r="C55" s="8" t="s">
        <v>37</v>
      </c>
      <c r="D55" s="8" t="str">
        <f>_xlfn.XLOOKUP(B55,Clientes!A:A,Clientes!G:G,"No encontrado",0)</f>
        <v>AG06</v>
      </c>
      <c r="E55" s="9">
        <v>45967</v>
      </c>
      <c r="F55" s="11">
        <v>237864</v>
      </c>
      <c r="G55" s="10">
        <v>0.10995039559978809</v>
      </c>
      <c r="H55" s="10">
        <f t="shared" si="2"/>
        <v>8.7308371644365668E-3</v>
      </c>
      <c r="I55">
        <v>72</v>
      </c>
      <c r="J55" s="12">
        <f t="shared" si="3"/>
        <v>4464.0614276236711</v>
      </c>
      <c r="K55">
        <f t="shared" ca="1" si="7"/>
        <v>9</v>
      </c>
      <c r="L55">
        <f ca="1">MIN(DATEDIF(Tabla1[[#This Row],[FechaDesembolso]],TODAY(),"m"),Tabla1[[#This Row],[Plazos (Meses)]])</f>
        <v>9</v>
      </c>
      <c r="M55">
        <f t="shared" ca="1" si="4"/>
        <v>63</v>
      </c>
      <c r="N55" s="8" t="s">
        <v>1251</v>
      </c>
      <c r="O55" s="8" t="s">
        <v>1253</v>
      </c>
      <c r="P55" s="13">
        <f t="shared" ca="1" si="6"/>
        <v>237863.99999999977</v>
      </c>
      <c r="Q5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10443.552848613042</v>
      </c>
      <c r="R55" s="8" t="str">
        <f t="shared" ca="1" si="5"/>
        <v>Vigente</v>
      </c>
      <c r="S55" t="str">
        <f ca="1">IF(Tabla1[[#This Row],[En Mora]]="No","",DATEDIF((EDATE(Tabla1[[#This Row],[FechaDesembolso]],Tabla1[[#This Row],[Mes de Mora]])),TODAY(),"d"))</f>
        <v/>
      </c>
    </row>
    <row r="56" spans="1:19" x14ac:dyDescent="0.25">
      <c r="A56" t="s">
        <v>898</v>
      </c>
      <c r="B56" t="s">
        <v>344</v>
      </c>
      <c r="C56" s="8" t="s">
        <v>33</v>
      </c>
      <c r="D56" s="8" t="str">
        <f>_xlfn.XLOOKUP(B56,Clientes!A:A,Clientes!G:G,"No encontrado",0)</f>
        <v>AG04</v>
      </c>
      <c r="E56" s="9">
        <v>46200</v>
      </c>
      <c r="F56" s="11">
        <v>15767</v>
      </c>
      <c r="G56" s="10">
        <v>0.34474573272293452</v>
      </c>
      <c r="H56" s="10">
        <f t="shared" si="2"/>
        <v>2.4990911518632197E-2</v>
      </c>
      <c r="I56">
        <v>31</v>
      </c>
      <c r="J56" s="12">
        <f t="shared" si="3"/>
        <v>736.8420905635727</v>
      </c>
      <c r="K56">
        <f t="shared" ca="1" si="7"/>
        <v>1</v>
      </c>
      <c r="L56">
        <f ca="1">MIN(DATEDIF(Tabla1[[#This Row],[FechaDesembolso]],TODAY(),"m"),Tabla1[[#This Row],[Plazos (Meses)]])</f>
        <v>1</v>
      </c>
      <c r="M56">
        <f t="shared" ca="1" si="4"/>
        <v>30</v>
      </c>
      <c r="N56" s="8" t="s">
        <v>1251</v>
      </c>
      <c r="O56" s="8" t="s">
        <v>1253</v>
      </c>
      <c r="P56" s="13">
        <f t="shared" ca="1" si="6"/>
        <v>15766.999999999987</v>
      </c>
      <c r="Q5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228.22918733776626</v>
      </c>
      <c r="R56" s="8" t="str">
        <f t="shared" ca="1" si="5"/>
        <v>Vigente</v>
      </c>
      <c r="S56" t="str">
        <f ca="1">IF(Tabla1[[#This Row],[En Mora]]="No","",DATEDIF((EDATE(Tabla1[[#This Row],[FechaDesembolso]],Tabla1[[#This Row],[Mes de Mora]])),TODAY(),"d"))</f>
        <v/>
      </c>
    </row>
    <row r="57" spans="1:19" x14ac:dyDescent="0.25">
      <c r="A57" t="s">
        <v>899</v>
      </c>
      <c r="B57" t="s">
        <v>130</v>
      </c>
      <c r="C57" s="8" t="s">
        <v>37</v>
      </c>
      <c r="D57" s="8" t="str">
        <f>_xlfn.XLOOKUP(B57,Clientes!A:A,Clientes!G:G,"No encontrado",0)</f>
        <v>AG04</v>
      </c>
      <c r="E57" s="9">
        <v>46088</v>
      </c>
      <c r="F57" s="11">
        <v>171300</v>
      </c>
      <c r="G57" s="10">
        <v>0.13216852799639225</v>
      </c>
      <c r="H57" s="10">
        <f t="shared" si="2"/>
        <v>1.0398260460835029E-2</v>
      </c>
      <c r="I57">
        <v>234</v>
      </c>
      <c r="J57" s="12">
        <f t="shared" si="3"/>
        <v>1954.9499348872214</v>
      </c>
      <c r="K57">
        <f t="shared" ca="1" si="7"/>
        <v>5</v>
      </c>
      <c r="L57">
        <f ca="1">MIN(DATEDIF(Tabla1[[#This Row],[FechaDesembolso]],TODAY(),"m"),Tabla1[[#This Row],[Plazos (Meses)]])</f>
        <v>5</v>
      </c>
      <c r="M57">
        <f t="shared" ca="1" si="4"/>
        <v>229</v>
      </c>
      <c r="N57" s="8" t="s">
        <v>1251</v>
      </c>
      <c r="O57" s="8" t="s">
        <v>1253</v>
      </c>
      <c r="P57" s="13">
        <f t="shared" ca="1" si="6"/>
        <v>171299.9999999998</v>
      </c>
      <c r="Q5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6114.4932641796968</v>
      </c>
      <c r="R57" s="8" t="str">
        <f t="shared" ca="1" si="5"/>
        <v>Vigente</v>
      </c>
      <c r="S57" t="str">
        <f ca="1">IF(Tabla1[[#This Row],[En Mora]]="No","",DATEDIF((EDATE(Tabla1[[#This Row],[FechaDesembolso]],Tabla1[[#This Row],[Mes de Mora]])),TODAY(),"d"))</f>
        <v/>
      </c>
    </row>
    <row r="58" spans="1:19" x14ac:dyDescent="0.25">
      <c r="A58" t="s">
        <v>900</v>
      </c>
      <c r="B58" t="s">
        <v>492</v>
      </c>
      <c r="C58" s="8" t="s">
        <v>37</v>
      </c>
      <c r="D58" s="8" t="str">
        <f>_xlfn.XLOOKUP(B58,Clientes!A:A,Clientes!G:G,"No encontrado",0)</f>
        <v>AG03</v>
      </c>
      <c r="E58" s="9">
        <v>45847</v>
      </c>
      <c r="F58" s="11">
        <v>138948</v>
      </c>
      <c r="G58" s="10">
        <v>0.10509755844991264</v>
      </c>
      <c r="H58" s="10">
        <f t="shared" si="2"/>
        <v>8.36257420440778E-3</v>
      </c>
      <c r="I58">
        <v>153</v>
      </c>
      <c r="J58" s="12">
        <f t="shared" si="3"/>
        <v>1613.092657840933</v>
      </c>
      <c r="K58">
        <f t="shared" ca="1" si="7"/>
        <v>13</v>
      </c>
      <c r="L58">
        <f ca="1">MIN(DATEDIF(Tabla1[[#This Row],[FechaDesembolso]],TODAY(),"m"),Tabla1[[#This Row],[Plazos (Meses)]])</f>
        <v>13</v>
      </c>
      <c r="M58">
        <f t="shared" ca="1" si="4"/>
        <v>140</v>
      </c>
      <c r="N58" s="8" t="s">
        <v>1251</v>
      </c>
      <c r="O58" s="8" t="s">
        <v>1253</v>
      </c>
      <c r="P58" s="13">
        <f t="shared" ca="1" si="6"/>
        <v>138947.99999999971</v>
      </c>
      <c r="Q5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9164.1653362458546</v>
      </c>
      <c r="R58" s="8" t="str">
        <f t="shared" ca="1" si="5"/>
        <v>Vigente</v>
      </c>
      <c r="S58" t="str">
        <f ca="1">IF(Tabla1[[#This Row],[En Mora]]="No","",DATEDIF((EDATE(Tabla1[[#This Row],[FechaDesembolso]],Tabla1[[#This Row],[Mes de Mora]])),TODAY(),"d"))</f>
        <v/>
      </c>
    </row>
    <row r="59" spans="1:19" x14ac:dyDescent="0.25">
      <c r="A59" t="s">
        <v>901</v>
      </c>
      <c r="B59" t="s">
        <v>285</v>
      </c>
      <c r="C59" s="8" t="s">
        <v>37</v>
      </c>
      <c r="D59" s="8" t="str">
        <f>_xlfn.XLOOKUP(B59,Clientes!A:A,Clientes!G:G,"No encontrado",0)</f>
        <v>AG05</v>
      </c>
      <c r="E59" s="9">
        <v>46138</v>
      </c>
      <c r="F59" s="11">
        <v>73442</v>
      </c>
      <c r="G59" s="10">
        <v>0.12276786019661368</v>
      </c>
      <c r="H59" s="10">
        <f t="shared" si="2"/>
        <v>9.6964539454593712E-3</v>
      </c>
      <c r="I59">
        <v>190</v>
      </c>
      <c r="J59" s="12">
        <f t="shared" si="3"/>
        <v>847.62978494257004</v>
      </c>
      <c r="K59">
        <f t="shared" ca="1" si="7"/>
        <v>3</v>
      </c>
      <c r="L59">
        <f ca="1">MIN(DATEDIF(Tabla1[[#This Row],[FechaDesembolso]],TODAY(),"m"),Tabla1[[#This Row],[Plazos (Meses)]])</f>
        <v>3</v>
      </c>
      <c r="M59">
        <f t="shared" ca="1" si="4"/>
        <v>187</v>
      </c>
      <c r="N59" s="8" t="s">
        <v>1252</v>
      </c>
      <c r="O59" s="8">
        <v>3</v>
      </c>
      <c r="P59" s="13">
        <f t="shared" ca="1" si="6"/>
        <v>73442.000000000204</v>
      </c>
      <c r="Q5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1383.2788285119204</v>
      </c>
      <c r="R59" s="8" t="str">
        <f t="shared" si="5"/>
        <v>En mora</v>
      </c>
      <c r="S59">
        <f ca="1">IF(Tabla1[[#This Row],[En Mora]]="No","",DATEDIF((EDATE(Tabla1[[#This Row],[FechaDesembolso]],Tabla1[[#This Row],[Mes de Mora]])),TODAY(),"d"))</f>
        <v>17</v>
      </c>
    </row>
    <row r="60" spans="1:19" x14ac:dyDescent="0.25">
      <c r="A60" t="s">
        <v>902</v>
      </c>
      <c r="B60" t="s">
        <v>401</v>
      </c>
      <c r="C60" s="8" t="s">
        <v>31</v>
      </c>
      <c r="D60" s="8" t="str">
        <f>_xlfn.XLOOKUP(B60,Clientes!A:A,Clientes!G:G,"No encontrado",0)</f>
        <v>AG06</v>
      </c>
      <c r="E60" s="9">
        <v>45237</v>
      </c>
      <c r="F60" s="11">
        <v>5495</v>
      </c>
      <c r="G60" s="10">
        <v>0.39485033245228235</v>
      </c>
      <c r="H60" s="10">
        <f t="shared" si="2"/>
        <v>2.8120378699345583E-2</v>
      </c>
      <c r="I60">
        <v>14</v>
      </c>
      <c r="J60" s="12">
        <f t="shared" si="3"/>
        <v>480.24077740095828</v>
      </c>
      <c r="K60">
        <f t="shared" ca="1" si="7"/>
        <v>14</v>
      </c>
      <c r="L60">
        <f ca="1">MIN(DATEDIF(Tabla1[[#This Row],[FechaDesembolso]],TODAY(),"m"),Tabla1[[#This Row],[Plazos (Meses)]])</f>
        <v>14</v>
      </c>
      <c r="M60">
        <f t="shared" ca="1" si="4"/>
        <v>0</v>
      </c>
      <c r="N60" s="8" t="s">
        <v>1251</v>
      </c>
      <c r="O60" s="8" t="s">
        <v>1253</v>
      </c>
      <c r="P60" s="13">
        <f t="shared" ca="1" si="6"/>
        <v>0</v>
      </c>
      <c r="Q6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60" s="8" t="str">
        <f t="shared" ca="1" si="5"/>
        <v>Cancelado</v>
      </c>
      <c r="S60" t="str">
        <f ca="1">IF(Tabla1[[#This Row],[En Mora]]="No","",DATEDIF((EDATE(Tabla1[[#This Row],[FechaDesembolso]],Tabla1[[#This Row],[Mes de Mora]])),TODAY(),"d"))</f>
        <v/>
      </c>
    </row>
    <row r="61" spans="1:19" x14ac:dyDescent="0.25">
      <c r="A61" t="s">
        <v>903</v>
      </c>
      <c r="B61" t="s">
        <v>176</v>
      </c>
      <c r="C61" s="8" t="s">
        <v>33</v>
      </c>
      <c r="D61" s="8" t="str">
        <f>_xlfn.XLOOKUP(B61,Clientes!A:A,Clientes!G:G,"No encontrado",0)</f>
        <v>AG01</v>
      </c>
      <c r="E61" s="9">
        <v>45602</v>
      </c>
      <c r="F61" s="11">
        <v>15725</v>
      </c>
      <c r="G61" s="10">
        <v>0.33701459678353107</v>
      </c>
      <c r="H61" s="10">
        <f t="shared" si="2"/>
        <v>2.4498544465090921E-2</v>
      </c>
      <c r="I61">
        <v>34</v>
      </c>
      <c r="J61" s="12">
        <f t="shared" si="3"/>
        <v>686.88696651388807</v>
      </c>
      <c r="K61">
        <f t="shared" ca="1" si="7"/>
        <v>21</v>
      </c>
      <c r="L61">
        <f ca="1">MIN(DATEDIF(Tabla1[[#This Row],[FechaDesembolso]],TODAY(),"m"),Tabla1[[#This Row],[Plazos (Meses)]])</f>
        <v>21</v>
      </c>
      <c r="M61">
        <f t="shared" ca="1" si="4"/>
        <v>13</v>
      </c>
      <c r="N61" s="8" t="s">
        <v>1251</v>
      </c>
      <c r="O61" s="8" t="s">
        <v>1253</v>
      </c>
      <c r="P61" s="13">
        <f t="shared" ca="1" si="6"/>
        <v>15724.999999999993</v>
      </c>
      <c r="Q6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4712.12629679165</v>
      </c>
      <c r="R61" s="8" t="str">
        <f t="shared" ca="1" si="5"/>
        <v>Vigente</v>
      </c>
      <c r="S61" t="str">
        <f ca="1">IF(Tabla1[[#This Row],[En Mora]]="No","",DATEDIF((EDATE(Tabla1[[#This Row],[FechaDesembolso]],Tabla1[[#This Row],[Mes de Mora]])),TODAY(),"d"))</f>
        <v/>
      </c>
    </row>
    <row r="62" spans="1:19" x14ac:dyDescent="0.25">
      <c r="A62" t="s">
        <v>904</v>
      </c>
      <c r="B62" t="s">
        <v>802</v>
      </c>
      <c r="C62" s="8" t="s">
        <v>33</v>
      </c>
      <c r="D62" s="8" t="str">
        <f>_xlfn.XLOOKUP(B62,Clientes!A:A,Clientes!G:G,"No encontrado",0)</f>
        <v>AG06</v>
      </c>
      <c r="E62" s="9">
        <v>45531</v>
      </c>
      <c r="F62" s="11">
        <v>45950</v>
      </c>
      <c r="G62" s="10">
        <v>0.38758044889461185</v>
      </c>
      <c r="H62" s="10">
        <f t="shared" si="2"/>
        <v>2.7672766170076635E-2</v>
      </c>
      <c r="I62">
        <v>31</v>
      </c>
      <c r="J62" s="12">
        <f t="shared" si="3"/>
        <v>2227.0699704868616</v>
      </c>
      <c r="K62">
        <f t="shared" ca="1" si="7"/>
        <v>5</v>
      </c>
      <c r="L62">
        <f ca="1">MIN(DATEDIF(Tabla1[[#This Row],[FechaDesembolso]],TODAY(),"m"),Tabla1[[#This Row],[Plazos (Meses)]])</f>
        <v>23</v>
      </c>
      <c r="M62">
        <f t="shared" ca="1" si="4"/>
        <v>26</v>
      </c>
      <c r="N62" s="8" t="s">
        <v>1252</v>
      </c>
      <c r="O62" s="8">
        <v>5</v>
      </c>
      <c r="P62" s="13">
        <f t="shared" ca="1" si="6"/>
        <v>45950.000000000036</v>
      </c>
      <c r="Q6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3724.0595298536632</v>
      </c>
      <c r="R62" s="8" t="str">
        <f t="shared" si="5"/>
        <v>En mora</v>
      </c>
      <c r="S62">
        <f ca="1">IF(Tabla1[[#This Row],[En Mora]]="No","",DATEDIF((EDATE(Tabla1[[#This Row],[FechaDesembolso]],Tabla1[[#This Row],[Mes de Mora]])),TODAY(),"d"))</f>
        <v>562</v>
      </c>
    </row>
    <row r="63" spans="1:19" x14ac:dyDescent="0.25">
      <c r="A63" t="s">
        <v>905</v>
      </c>
      <c r="B63" t="s">
        <v>426</v>
      </c>
      <c r="C63" s="8" t="s">
        <v>37</v>
      </c>
      <c r="D63" s="8" t="str">
        <f>_xlfn.XLOOKUP(B63,Clientes!A:A,Clientes!G:G,"No encontrado",0)</f>
        <v>AG05</v>
      </c>
      <c r="E63" s="9">
        <v>46150</v>
      </c>
      <c r="F63" s="11">
        <v>196099</v>
      </c>
      <c r="G63" s="10">
        <v>0.13473418583037072</v>
      </c>
      <c r="H63" s="10">
        <f t="shared" si="2"/>
        <v>1.0588871628030683E-2</v>
      </c>
      <c r="I63">
        <v>113</v>
      </c>
      <c r="J63" s="12">
        <f t="shared" si="3"/>
        <v>2984.0500022935876</v>
      </c>
      <c r="K63">
        <f t="shared" ca="1" si="7"/>
        <v>3</v>
      </c>
      <c r="L63">
        <f ca="1">MIN(DATEDIF(Tabla1[[#This Row],[FechaDesembolso]],TODAY(),"m"),Tabla1[[#This Row],[Plazos (Meses)]])</f>
        <v>3</v>
      </c>
      <c r="M63">
        <f t="shared" ca="1" si="4"/>
        <v>110</v>
      </c>
      <c r="N63" s="8" t="s">
        <v>1251</v>
      </c>
      <c r="O63" s="8" t="s">
        <v>1253</v>
      </c>
      <c r="P63" s="13">
        <f t="shared" ca="1" si="6"/>
        <v>196099.00000000026</v>
      </c>
      <c r="Q6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3745.9818652878425</v>
      </c>
      <c r="R63" s="8" t="str">
        <f t="shared" ca="1" si="5"/>
        <v>Vigente</v>
      </c>
      <c r="S63" t="str">
        <f ca="1">IF(Tabla1[[#This Row],[En Mora]]="No","",DATEDIF((EDATE(Tabla1[[#This Row],[FechaDesembolso]],Tabla1[[#This Row],[Mes de Mora]])),TODAY(),"d"))</f>
        <v/>
      </c>
    </row>
    <row r="64" spans="1:19" x14ac:dyDescent="0.25">
      <c r="A64" t="s">
        <v>906</v>
      </c>
      <c r="B64" t="s">
        <v>807</v>
      </c>
      <c r="C64" s="8" t="s">
        <v>35</v>
      </c>
      <c r="D64" s="8" t="str">
        <f>_xlfn.XLOOKUP(B64,Clientes!A:A,Clientes!G:G,"No encontrado",0)</f>
        <v>AG08</v>
      </c>
      <c r="E64" s="9">
        <v>46177</v>
      </c>
      <c r="F64" s="11">
        <v>68305</v>
      </c>
      <c r="G64" s="10">
        <v>0.26681464737873084</v>
      </c>
      <c r="H64" s="10">
        <f t="shared" si="2"/>
        <v>1.9904300487655791E-2</v>
      </c>
      <c r="I64">
        <v>54</v>
      </c>
      <c r="J64" s="12">
        <f t="shared" si="3"/>
        <v>2075.5987497142178</v>
      </c>
      <c r="K64">
        <f t="shared" ca="1" si="7"/>
        <v>2</v>
      </c>
      <c r="L64">
        <f ca="1">MIN(DATEDIF(Tabla1[[#This Row],[FechaDesembolso]],TODAY(),"m"),Tabla1[[#This Row],[Plazos (Meses)]])</f>
        <v>2</v>
      </c>
      <c r="M64">
        <f t="shared" ca="1" si="4"/>
        <v>52</v>
      </c>
      <c r="N64" s="8" t="s">
        <v>1251</v>
      </c>
      <c r="O64" s="8" t="s">
        <v>1253</v>
      </c>
      <c r="P64" s="13">
        <f t="shared" ca="1" si="6"/>
        <v>68305.000000000073</v>
      </c>
      <c r="Q6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1621.3826846136205</v>
      </c>
      <c r="R64" s="8" t="str">
        <f t="shared" ca="1" si="5"/>
        <v>Vigente</v>
      </c>
      <c r="S64" t="str">
        <f ca="1">IF(Tabla1[[#This Row],[En Mora]]="No","",DATEDIF((EDATE(Tabla1[[#This Row],[FechaDesembolso]],Tabla1[[#This Row],[Mes de Mora]])),TODAY(),"d"))</f>
        <v/>
      </c>
    </row>
    <row r="65" spans="1:19" x14ac:dyDescent="0.25">
      <c r="A65" t="s">
        <v>907</v>
      </c>
      <c r="B65" t="s">
        <v>276</v>
      </c>
      <c r="C65" s="8" t="s">
        <v>35</v>
      </c>
      <c r="D65" s="8" t="str">
        <f>_xlfn.XLOOKUP(B65,Clientes!A:A,Clientes!G:G,"No encontrado",0)</f>
        <v>AG04</v>
      </c>
      <c r="E65" s="9">
        <v>46217</v>
      </c>
      <c r="F65" s="11">
        <v>28642</v>
      </c>
      <c r="G65" s="10">
        <v>0.27534212813579356</v>
      </c>
      <c r="H65" s="10">
        <f t="shared" si="2"/>
        <v>2.047466123107422E-2</v>
      </c>
      <c r="I65">
        <v>37</v>
      </c>
      <c r="J65" s="12">
        <f t="shared" si="3"/>
        <v>1111.5326742091418</v>
      </c>
      <c r="K65">
        <f t="shared" ca="1" si="7"/>
        <v>0</v>
      </c>
      <c r="L65">
        <f ca="1">MIN(DATEDIF(Tabla1[[#This Row],[FechaDesembolso]],TODAY(),"m"),Tabla1[[#This Row],[Plazos (Meses)]])</f>
        <v>0</v>
      </c>
      <c r="M65">
        <f t="shared" ca="1" si="4"/>
        <v>37</v>
      </c>
      <c r="N65" s="8" t="s">
        <v>1251</v>
      </c>
      <c r="O65" s="8" t="s">
        <v>1253</v>
      </c>
      <c r="P65" s="13">
        <f t="shared" ca="1" si="6"/>
        <v>28642.000000000004</v>
      </c>
      <c r="Q6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65" s="8" t="str">
        <f t="shared" ca="1" si="5"/>
        <v>Vigente</v>
      </c>
      <c r="S65" t="str">
        <f ca="1">IF(Tabla1[[#This Row],[En Mora]]="No","",DATEDIF((EDATE(Tabla1[[#This Row],[FechaDesembolso]],Tabla1[[#This Row],[Mes de Mora]])),TODAY(),"d"))</f>
        <v/>
      </c>
    </row>
    <row r="66" spans="1:19" x14ac:dyDescent="0.25">
      <c r="A66" t="s">
        <v>908</v>
      </c>
      <c r="B66" t="s">
        <v>561</v>
      </c>
      <c r="C66" s="8" t="s">
        <v>39</v>
      </c>
      <c r="D66" s="8" t="str">
        <f>_xlfn.XLOOKUP(B66,Clientes!A:A,Clientes!G:G,"No encontrado",0)</f>
        <v>AG05</v>
      </c>
      <c r="E66" s="9">
        <v>46201</v>
      </c>
      <c r="F66" s="11">
        <v>15808</v>
      </c>
      <c r="G66" s="10">
        <v>0.35111410826065959</v>
      </c>
      <c r="H66" s="10">
        <f t="shared" si="2"/>
        <v>2.5394544294756294E-2</v>
      </c>
      <c r="I66">
        <v>16</v>
      </c>
      <c r="J66" s="12">
        <f t="shared" si="3"/>
        <v>1214.5977648217945</v>
      </c>
      <c r="K66">
        <f t="shared" ca="1" si="7"/>
        <v>1</v>
      </c>
      <c r="L66">
        <f ca="1">MIN(DATEDIF(Tabla1[[#This Row],[FechaDesembolso]],TODAY(),"m"),Tabla1[[#This Row],[Plazos (Meses)]])</f>
        <v>1</v>
      </c>
      <c r="M66">
        <f t="shared" ca="1" si="4"/>
        <v>15</v>
      </c>
      <c r="N66" s="8" t="s">
        <v>1252</v>
      </c>
      <c r="O66" s="8">
        <v>1</v>
      </c>
      <c r="P66" s="13">
        <f t="shared" ca="1" si="6"/>
        <v>15807.999999999989</v>
      </c>
      <c r="Q6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226.5977648217945</v>
      </c>
      <c r="R66" s="8" t="str">
        <f t="shared" si="5"/>
        <v>En mora</v>
      </c>
      <c r="S66">
        <f ca="1">IF(Tabla1[[#This Row],[En Mora]]="No","",DATEDIF((EDATE(Tabla1[[#This Row],[FechaDesembolso]],Tabla1[[#This Row],[Mes de Mora]])),TODAY(),"d"))</f>
        <v>15</v>
      </c>
    </row>
    <row r="67" spans="1:19" x14ac:dyDescent="0.25">
      <c r="A67" t="s">
        <v>909</v>
      </c>
      <c r="B67" t="s">
        <v>519</v>
      </c>
      <c r="C67" s="8" t="s">
        <v>39</v>
      </c>
      <c r="D67" s="8" t="str">
        <f>_xlfn.XLOOKUP(B67,Clientes!A:A,Clientes!G:G,"No encontrado",0)</f>
        <v>AG06</v>
      </c>
      <c r="E67" s="9">
        <v>46028</v>
      </c>
      <c r="F67" s="11">
        <v>16504</v>
      </c>
      <c r="G67" s="10">
        <v>0.25280583505379312</v>
      </c>
      <c r="H67" s="10">
        <f t="shared" ref="H67:H130" si="8">(1+G67)^(1/12)-1</f>
        <v>1.8959635913865958E-2</v>
      </c>
      <c r="I67">
        <v>8</v>
      </c>
      <c r="J67" s="12">
        <f t="shared" ref="J67:J130" si="9">PMT(H67,I67,-F67,,)</f>
        <v>2242.8671647883339</v>
      </c>
      <c r="K67">
        <f t="shared" ref="K67:K130" ca="1" si="10">IF(N67="SI",O67,MIN(DATEDIF(E67,TODAY(),"m"),I67))</f>
        <v>7</v>
      </c>
      <c r="L67">
        <f ca="1">MIN(DATEDIF(Tabla1[[#This Row],[FechaDesembolso]],TODAY(),"m"),Tabla1[[#This Row],[Plazos (Meses)]])</f>
        <v>7</v>
      </c>
      <c r="M67">
        <f t="shared" ref="M67:M130" ca="1" si="11">I67-K67</f>
        <v>1</v>
      </c>
      <c r="N67" s="8" t="s">
        <v>1251</v>
      </c>
      <c r="O67" s="8" t="s">
        <v>1253</v>
      </c>
      <c r="P67" s="13">
        <f t="shared" ca="1" si="6"/>
        <v>16504.000000000018</v>
      </c>
      <c r="Q6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1259.0701535183371</v>
      </c>
      <c r="R67" s="8" t="str">
        <f t="shared" ref="R67:R130" ca="1" si="12">IF(N67="SI","En mora",IF(K67&gt;=I67,"Cancelado","Vigente"))</f>
        <v>Vigente</v>
      </c>
      <c r="S67" t="str">
        <f ca="1">IF(Tabla1[[#This Row],[En Mora]]="No","",DATEDIF((EDATE(Tabla1[[#This Row],[FechaDesembolso]],Tabla1[[#This Row],[Mes de Mora]])),TODAY(),"d"))</f>
        <v/>
      </c>
    </row>
    <row r="68" spans="1:19" x14ac:dyDescent="0.25">
      <c r="A68" t="s">
        <v>910</v>
      </c>
      <c r="B68" t="s">
        <v>285</v>
      </c>
      <c r="C68" s="8" t="s">
        <v>33</v>
      </c>
      <c r="D68" s="8" t="str">
        <f>_xlfn.XLOOKUP(B68,Clientes!A:A,Clientes!G:G,"No encontrado",0)</f>
        <v>AG05</v>
      </c>
      <c r="E68" s="9">
        <v>46183</v>
      </c>
      <c r="F68" s="11">
        <v>11079</v>
      </c>
      <c r="G68" s="10">
        <v>0.27781416113112334</v>
      </c>
      <c r="H68" s="10">
        <f t="shared" si="8"/>
        <v>2.0639349632938009E-2</v>
      </c>
      <c r="I68">
        <v>45</v>
      </c>
      <c r="J68" s="12">
        <f t="shared" si="9"/>
        <v>380.33966549709834</v>
      </c>
      <c r="K68">
        <f t="shared" ca="1" si="10"/>
        <v>2</v>
      </c>
      <c r="L68">
        <f ca="1">MIN(DATEDIF(Tabla1[[#This Row],[FechaDesembolso]],TODAY(),"m"),Tabla1[[#This Row],[Plazos (Meses)]])</f>
        <v>2</v>
      </c>
      <c r="M68">
        <f t="shared" ca="1" si="11"/>
        <v>43</v>
      </c>
      <c r="N68" s="8" t="s">
        <v>1251</v>
      </c>
      <c r="O68" s="8" t="s">
        <v>1253</v>
      </c>
      <c r="P68" s="13">
        <f t="shared" ca="1" si="6"/>
        <v>11079.000000000004</v>
      </c>
      <c r="Q6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268.2793309941967</v>
      </c>
      <c r="R68" s="8" t="str">
        <f t="shared" ca="1" si="12"/>
        <v>Vigente</v>
      </c>
      <c r="S68" t="str">
        <f ca="1">IF(Tabla1[[#This Row],[En Mora]]="No","",DATEDIF((EDATE(Tabla1[[#This Row],[FechaDesembolso]],Tabla1[[#This Row],[Mes de Mora]])),TODAY(),"d"))</f>
        <v/>
      </c>
    </row>
    <row r="69" spans="1:19" x14ac:dyDescent="0.25">
      <c r="A69" t="s">
        <v>911</v>
      </c>
      <c r="B69" t="s">
        <v>627</v>
      </c>
      <c r="C69" s="8" t="s">
        <v>39</v>
      </c>
      <c r="D69" s="8" t="str">
        <f>_xlfn.XLOOKUP(B69,Clientes!A:A,Clientes!G:G,"No encontrado",0)</f>
        <v>AG03</v>
      </c>
      <c r="E69" s="9">
        <v>45950</v>
      </c>
      <c r="F69" s="11">
        <v>3873</v>
      </c>
      <c r="G69" s="10">
        <v>0.27546739588247543</v>
      </c>
      <c r="H69" s="10">
        <f t="shared" si="8"/>
        <v>2.0483013683070483E-2</v>
      </c>
      <c r="I69">
        <v>13</v>
      </c>
      <c r="J69" s="12">
        <f t="shared" si="9"/>
        <v>342.36984567690274</v>
      </c>
      <c r="K69">
        <f t="shared" ca="1" si="10"/>
        <v>9</v>
      </c>
      <c r="L69">
        <f ca="1">MIN(DATEDIF(Tabla1[[#This Row],[FechaDesembolso]],TODAY(),"m"),Tabla1[[#This Row],[Plazos (Meses)]])</f>
        <v>9</v>
      </c>
      <c r="M69">
        <f t="shared" ca="1" si="11"/>
        <v>4</v>
      </c>
      <c r="N69" s="8" t="s">
        <v>1251</v>
      </c>
      <c r="O69" s="8" t="s">
        <v>1253</v>
      </c>
      <c r="P69" s="13">
        <f t="shared" ref="P69:P132" ca="1" si="13">IF(M69=0,0,PV(H69,I69,-J69))</f>
        <v>3872.9999999999995</v>
      </c>
      <c r="Q6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400.02091878443218</v>
      </c>
      <c r="R69" s="8" t="str">
        <f t="shared" ca="1" si="12"/>
        <v>Vigente</v>
      </c>
      <c r="S69" t="str">
        <f ca="1">IF(Tabla1[[#This Row],[En Mora]]="No","",DATEDIF((EDATE(Tabla1[[#This Row],[FechaDesembolso]],Tabla1[[#This Row],[Mes de Mora]])),TODAY(),"d"))</f>
        <v/>
      </c>
    </row>
    <row r="70" spans="1:19" x14ac:dyDescent="0.25">
      <c r="A70" t="s">
        <v>912</v>
      </c>
      <c r="B70" t="s">
        <v>750</v>
      </c>
      <c r="C70" s="8" t="s">
        <v>39</v>
      </c>
      <c r="D70" s="8" t="str">
        <f>_xlfn.XLOOKUP(B70,Clientes!A:A,Clientes!G:G,"No encontrado",0)</f>
        <v>AG03</v>
      </c>
      <c r="E70" s="9">
        <v>45947</v>
      </c>
      <c r="F70" s="11">
        <v>4807</v>
      </c>
      <c r="G70" s="10">
        <v>0.23523306481708875</v>
      </c>
      <c r="H70" s="10">
        <f t="shared" si="8"/>
        <v>1.7760853336652449E-2</v>
      </c>
      <c r="I70">
        <v>19</v>
      </c>
      <c r="J70" s="12">
        <f t="shared" si="9"/>
        <v>300.303769053385</v>
      </c>
      <c r="K70">
        <f t="shared" ca="1" si="10"/>
        <v>9</v>
      </c>
      <c r="L70">
        <f ca="1">MIN(DATEDIF(Tabla1[[#This Row],[FechaDesembolso]],TODAY(),"m"),Tabla1[[#This Row],[Plazos (Meses)]])</f>
        <v>9</v>
      </c>
      <c r="M70">
        <f t="shared" ca="1" si="11"/>
        <v>10</v>
      </c>
      <c r="N70" s="8" t="s">
        <v>1251</v>
      </c>
      <c r="O70" s="8" t="s">
        <v>1253</v>
      </c>
      <c r="P70" s="13">
        <f t="shared" ca="1" si="13"/>
        <v>4807.0000000000055</v>
      </c>
      <c r="Q7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425.73392148046497</v>
      </c>
      <c r="R70" s="8" t="str">
        <f t="shared" ca="1" si="12"/>
        <v>Vigente</v>
      </c>
      <c r="S70" t="str">
        <f ca="1">IF(Tabla1[[#This Row],[En Mora]]="No","",DATEDIF((EDATE(Tabla1[[#This Row],[FechaDesembolso]],Tabla1[[#This Row],[Mes de Mora]])),TODAY(),"d"))</f>
        <v/>
      </c>
    </row>
    <row r="71" spans="1:19" x14ac:dyDescent="0.25">
      <c r="A71" t="s">
        <v>913</v>
      </c>
      <c r="B71" t="s">
        <v>170</v>
      </c>
      <c r="C71" s="8" t="s">
        <v>37</v>
      </c>
      <c r="D71" s="8" t="str">
        <f>_xlfn.XLOOKUP(B71,Clientes!A:A,Clientes!G:G,"No encontrado",0)</f>
        <v>AG04</v>
      </c>
      <c r="E71" s="9">
        <v>45474</v>
      </c>
      <c r="F71" s="11">
        <v>225035</v>
      </c>
      <c r="G71" s="10">
        <v>9.2713908034749382E-2</v>
      </c>
      <c r="H71" s="10">
        <f t="shared" si="8"/>
        <v>7.4160659499795667E-3</v>
      </c>
      <c r="I71">
        <v>99</v>
      </c>
      <c r="J71" s="12">
        <f t="shared" si="9"/>
        <v>3216.769727163673</v>
      </c>
      <c r="K71">
        <f t="shared" ca="1" si="10"/>
        <v>25</v>
      </c>
      <c r="L71">
        <f ca="1">MIN(DATEDIF(Tabla1[[#This Row],[FechaDesembolso]],TODAY(),"m"),Tabla1[[#This Row],[Plazos (Meses)]])</f>
        <v>25</v>
      </c>
      <c r="M71">
        <f t="shared" ca="1" si="11"/>
        <v>74</v>
      </c>
      <c r="N71" s="8" t="s">
        <v>1251</v>
      </c>
      <c r="O71" s="8" t="s">
        <v>1253</v>
      </c>
      <c r="P71" s="13">
        <f t="shared" ca="1" si="13"/>
        <v>225034.99999999968</v>
      </c>
      <c r="Q7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23592.222977071622</v>
      </c>
      <c r="R71" s="8" t="str">
        <f t="shared" ca="1" si="12"/>
        <v>Vigente</v>
      </c>
      <c r="S71" t="str">
        <f ca="1">IF(Tabla1[[#This Row],[En Mora]]="No","",DATEDIF((EDATE(Tabla1[[#This Row],[FechaDesembolso]],Tabla1[[#This Row],[Mes de Mora]])),TODAY(),"d"))</f>
        <v/>
      </c>
    </row>
    <row r="72" spans="1:19" x14ac:dyDescent="0.25">
      <c r="A72" t="s">
        <v>914</v>
      </c>
      <c r="B72" t="s">
        <v>222</v>
      </c>
      <c r="C72" s="8" t="s">
        <v>31</v>
      </c>
      <c r="D72" s="8" t="str">
        <f>_xlfn.XLOOKUP(B72,Clientes!A:A,Clientes!G:G,"No encontrado",0)</f>
        <v>AG02</v>
      </c>
      <c r="E72" s="9">
        <v>46187</v>
      </c>
      <c r="F72" s="11">
        <v>5158</v>
      </c>
      <c r="G72" s="10">
        <v>0.53164889732490872</v>
      </c>
      <c r="H72" s="10">
        <f t="shared" si="8"/>
        <v>3.6167425922493557E-2</v>
      </c>
      <c r="I72">
        <v>32</v>
      </c>
      <c r="J72" s="12">
        <f t="shared" si="9"/>
        <v>274.66600101740852</v>
      </c>
      <c r="K72">
        <f t="shared" ca="1" si="10"/>
        <v>1</v>
      </c>
      <c r="L72">
        <f ca="1">MIN(DATEDIF(Tabla1[[#This Row],[FechaDesembolso]],TODAY(),"m"),Tabla1[[#This Row],[Plazos (Meses)]])</f>
        <v>1</v>
      </c>
      <c r="M72">
        <f t="shared" ca="1" si="11"/>
        <v>31</v>
      </c>
      <c r="N72" s="8" t="s">
        <v>1251</v>
      </c>
      <c r="O72" s="8" t="s">
        <v>1253</v>
      </c>
      <c r="P72" s="13">
        <f t="shared" ca="1" si="13"/>
        <v>5158.0000000000009</v>
      </c>
      <c r="Q7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113.47850101740852</v>
      </c>
      <c r="R72" s="8" t="str">
        <f t="shared" ca="1" si="12"/>
        <v>Vigente</v>
      </c>
      <c r="S72" t="str">
        <f ca="1">IF(Tabla1[[#This Row],[En Mora]]="No","",DATEDIF((EDATE(Tabla1[[#This Row],[FechaDesembolso]],Tabla1[[#This Row],[Mes de Mora]])),TODAY(),"d"))</f>
        <v/>
      </c>
    </row>
    <row r="73" spans="1:19" x14ac:dyDescent="0.25">
      <c r="A73" t="s">
        <v>915</v>
      </c>
      <c r="B73" t="s">
        <v>834</v>
      </c>
      <c r="C73" s="8" t="s">
        <v>35</v>
      </c>
      <c r="D73" s="8" t="str">
        <f>_xlfn.XLOOKUP(B73,Clientes!A:A,Clientes!G:G,"No encontrado",0)</f>
        <v>AG04</v>
      </c>
      <c r="E73" s="9">
        <v>45646</v>
      </c>
      <c r="F73" s="11">
        <v>59333</v>
      </c>
      <c r="G73" s="10">
        <v>0.22396814255900893</v>
      </c>
      <c r="H73" s="10">
        <f t="shared" si="8"/>
        <v>1.6984130824731603E-2</v>
      </c>
      <c r="I73">
        <v>16</v>
      </c>
      <c r="J73" s="12">
        <f t="shared" si="9"/>
        <v>4266.1764122390005</v>
      </c>
      <c r="K73">
        <f t="shared" ca="1" si="10"/>
        <v>16</v>
      </c>
      <c r="L73">
        <f ca="1">MIN(DATEDIF(Tabla1[[#This Row],[FechaDesembolso]],TODAY(),"m"),Tabla1[[#This Row],[Plazos (Meses)]])</f>
        <v>16</v>
      </c>
      <c r="M73">
        <f t="shared" ca="1" si="11"/>
        <v>0</v>
      </c>
      <c r="N73" s="8" t="s">
        <v>1251</v>
      </c>
      <c r="O73" s="8" t="s">
        <v>1253</v>
      </c>
      <c r="P73" s="13">
        <f t="shared" ca="1" si="13"/>
        <v>0</v>
      </c>
      <c r="Q7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73" s="8" t="str">
        <f t="shared" ca="1" si="12"/>
        <v>Cancelado</v>
      </c>
      <c r="S73" t="str">
        <f ca="1">IF(Tabla1[[#This Row],[En Mora]]="No","",DATEDIF((EDATE(Tabla1[[#This Row],[FechaDesembolso]],Tabla1[[#This Row],[Mes de Mora]])),TODAY(),"d"))</f>
        <v/>
      </c>
    </row>
    <row r="74" spans="1:19" x14ac:dyDescent="0.25">
      <c r="A74" t="s">
        <v>916</v>
      </c>
      <c r="B74" t="s">
        <v>386</v>
      </c>
      <c r="C74" s="8" t="s">
        <v>37</v>
      </c>
      <c r="D74" s="8" t="str">
        <f>_xlfn.XLOOKUP(B74,Clientes!A:A,Clientes!G:G,"No encontrado",0)</f>
        <v>AG05</v>
      </c>
      <c r="E74" s="9">
        <v>45158</v>
      </c>
      <c r="F74" s="11">
        <v>214024</v>
      </c>
      <c r="G74" s="10">
        <v>0.11517062807537437</v>
      </c>
      <c r="H74" s="10">
        <f t="shared" si="8"/>
        <v>9.1253362129013471E-3</v>
      </c>
      <c r="I74">
        <v>147</v>
      </c>
      <c r="J74" s="12">
        <f t="shared" si="9"/>
        <v>2650.2339551801633</v>
      </c>
      <c r="K74">
        <f t="shared" ca="1" si="10"/>
        <v>35</v>
      </c>
      <c r="L74">
        <f ca="1">MIN(DATEDIF(Tabla1[[#This Row],[FechaDesembolso]],TODAY(),"m"),Tabla1[[#This Row],[Plazos (Meses)]])</f>
        <v>35</v>
      </c>
      <c r="M74">
        <f t="shared" ca="1" si="11"/>
        <v>112</v>
      </c>
      <c r="N74" s="8" t="s">
        <v>1251</v>
      </c>
      <c r="O74" s="8" t="s">
        <v>1253</v>
      </c>
      <c r="P74" s="13">
        <f t="shared" ca="1" si="13"/>
        <v>214023.99999999962</v>
      </c>
      <c r="Q7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41800.093193210472</v>
      </c>
      <c r="R74" s="8" t="str">
        <f t="shared" ca="1" si="12"/>
        <v>Vigente</v>
      </c>
      <c r="S74" t="str">
        <f ca="1">IF(Tabla1[[#This Row],[En Mora]]="No","",DATEDIF((EDATE(Tabla1[[#This Row],[FechaDesembolso]],Tabla1[[#This Row],[Mes de Mora]])),TODAY(),"d"))</f>
        <v/>
      </c>
    </row>
    <row r="75" spans="1:19" x14ac:dyDescent="0.25">
      <c r="A75" t="s">
        <v>917</v>
      </c>
      <c r="B75" t="s">
        <v>410</v>
      </c>
      <c r="C75" s="8" t="s">
        <v>37</v>
      </c>
      <c r="D75" s="8" t="str">
        <f>_xlfn.XLOOKUP(B75,Clientes!A:A,Clientes!G:G,"No encontrado",0)</f>
        <v>AG01</v>
      </c>
      <c r="E75" s="9">
        <v>45609</v>
      </c>
      <c r="F75" s="11">
        <v>84921</v>
      </c>
      <c r="G75" s="10">
        <v>0.13337518097049308</v>
      </c>
      <c r="H75" s="10">
        <f t="shared" si="8"/>
        <v>1.0487955949188166E-2</v>
      </c>
      <c r="I75">
        <v>206</v>
      </c>
      <c r="J75" s="12">
        <f t="shared" si="9"/>
        <v>1008.1694987943445</v>
      </c>
      <c r="K75">
        <f t="shared" ca="1" si="10"/>
        <v>20</v>
      </c>
      <c r="L75">
        <f ca="1">MIN(DATEDIF(Tabla1[[#This Row],[FechaDesembolso]],TODAY(),"m"),Tabla1[[#This Row],[Plazos (Meses)]])</f>
        <v>20</v>
      </c>
      <c r="M75">
        <f t="shared" ca="1" si="11"/>
        <v>186</v>
      </c>
      <c r="N75" s="8" t="s">
        <v>1251</v>
      </c>
      <c r="O75" s="8" t="s">
        <v>1253</v>
      </c>
      <c r="P75" s="13">
        <f t="shared" ca="1" si="13"/>
        <v>84920.999999999985</v>
      </c>
      <c r="Q7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11918.632694333492</v>
      </c>
      <c r="R75" s="8" t="str">
        <f t="shared" ca="1" si="12"/>
        <v>Vigente</v>
      </c>
      <c r="S75" t="str">
        <f ca="1">IF(Tabla1[[#This Row],[En Mora]]="No","",DATEDIF((EDATE(Tabla1[[#This Row],[FechaDesembolso]],Tabla1[[#This Row],[Mes de Mora]])),TODAY(),"d"))</f>
        <v/>
      </c>
    </row>
    <row r="76" spans="1:19" x14ac:dyDescent="0.25">
      <c r="A76" t="s">
        <v>918</v>
      </c>
      <c r="B76" t="s">
        <v>825</v>
      </c>
      <c r="C76" s="8" t="s">
        <v>37</v>
      </c>
      <c r="D76" s="8" t="str">
        <f>_xlfn.XLOOKUP(B76,Clientes!A:A,Clientes!G:G,"No encontrado",0)</f>
        <v>AG06</v>
      </c>
      <c r="E76" s="9">
        <v>46119</v>
      </c>
      <c r="F76" s="11">
        <v>271513</v>
      </c>
      <c r="G76" s="10">
        <v>0.10243978815061941</v>
      </c>
      <c r="H76" s="10">
        <f t="shared" si="8"/>
        <v>8.1602576173276375E-3</v>
      </c>
      <c r="I76">
        <v>228</v>
      </c>
      <c r="J76" s="12">
        <f t="shared" si="9"/>
        <v>2627.5282655213955</v>
      </c>
      <c r="K76">
        <f t="shared" ca="1" si="10"/>
        <v>4</v>
      </c>
      <c r="L76">
        <f ca="1">MIN(DATEDIF(Tabla1[[#This Row],[FechaDesembolso]],TODAY(),"m"),Tabla1[[#This Row],[Plazos (Meses)]])</f>
        <v>4</v>
      </c>
      <c r="M76">
        <f t="shared" ca="1" si="11"/>
        <v>224</v>
      </c>
      <c r="N76" s="8" t="s">
        <v>1251</v>
      </c>
      <c r="O76" s="8" t="s">
        <v>1253</v>
      </c>
      <c r="P76" s="13">
        <f t="shared" ca="1" si="13"/>
        <v>271513.00000000081</v>
      </c>
      <c r="Q7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5746.7270971733005</v>
      </c>
      <c r="R76" s="8" t="str">
        <f t="shared" ca="1" si="12"/>
        <v>Vigente</v>
      </c>
      <c r="S76" t="str">
        <f ca="1">IF(Tabla1[[#This Row],[En Mora]]="No","",DATEDIF((EDATE(Tabla1[[#This Row],[FechaDesembolso]],Tabla1[[#This Row],[Mes de Mora]])),TODAY(),"d"))</f>
        <v/>
      </c>
    </row>
    <row r="77" spans="1:19" x14ac:dyDescent="0.25">
      <c r="A77" t="s">
        <v>919</v>
      </c>
      <c r="B77" t="s">
        <v>356</v>
      </c>
      <c r="C77" s="8" t="s">
        <v>39</v>
      </c>
      <c r="D77" s="8" t="str">
        <f>_xlfn.XLOOKUP(B77,Clientes!A:A,Clientes!G:G,"No encontrado",0)</f>
        <v>AG05</v>
      </c>
      <c r="E77" s="9">
        <v>45998</v>
      </c>
      <c r="F77" s="11">
        <v>15169</v>
      </c>
      <c r="G77" s="10">
        <v>0.32575173426007853</v>
      </c>
      <c r="H77" s="10">
        <f t="shared" si="8"/>
        <v>2.3776564178605186E-2</v>
      </c>
      <c r="I77">
        <v>12</v>
      </c>
      <c r="J77" s="12">
        <f t="shared" si="9"/>
        <v>1467.8494553097273</v>
      </c>
      <c r="K77">
        <f t="shared" ca="1" si="10"/>
        <v>8</v>
      </c>
      <c r="L77">
        <f ca="1">MIN(DATEDIF(Tabla1[[#This Row],[FechaDesembolso]],TODAY(),"m"),Tabla1[[#This Row],[Plazos (Meses)]])</f>
        <v>8</v>
      </c>
      <c r="M77">
        <f t="shared" ca="1" si="11"/>
        <v>4</v>
      </c>
      <c r="N77" s="8" t="s">
        <v>1251</v>
      </c>
      <c r="O77" s="8" t="s">
        <v>1253</v>
      </c>
      <c r="P77" s="13">
        <f t="shared" ca="1" si="13"/>
        <v>15168.999999999993</v>
      </c>
      <c r="Q7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1630.1289758111525</v>
      </c>
      <c r="R77" s="8" t="str">
        <f t="shared" ca="1" si="12"/>
        <v>Vigente</v>
      </c>
      <c r="S77" t="str">
        <f ca="1">IF(Tabla1[[#This Row],[En Mora]]="No","",DATEDIF((EDATE(Tabla1[[#This Row],[FechaDesembolso]],Tabla1[[#This Row],[Mes de Mora]])),TODAY(),"d"))</f>
        <v/>
      </c>
    </row>
    <row r="78" spans="1:19" x14ac:dyDescent="0.25">
      <c r="A78" t="s">
        <v>920</v>
      </c>
      <c r="B78" t="s">
        <v>796</v>
      </c>
      <c r="C78" s="8" t="s">
        <v>35</v>
      </c>
      <c r="D78" s="8" t="str">
        <f>_xlfn.XLOOKUP(B78,Clientes!A:A,Clientes!G:G,"No encontrado",0)</f>
        <v>AG02</v>
      </c>
      <c r="E78" s="9">
        <v>45579</v>
      </c>
      <c r="F78" s="11">
        <v>86690</v>
      </c>
      <c r="G78" s="10">
        <v>0.29301382670515552</v>
      </c>
      <c r="H78" s="10">
        <f t="shared" si="8"/>
        <v>2.1645588589563669E-2</v>
      </c>
      <c r="I78">
        <v>14</v>
      </c>
      <c r="J78" s="12">
        <f t="shared" si="9"/>
        <v>7243.9588401683595</v>
      </c>
      <c r="K78">
        <f t="shared" ca="1" si="10"/>
        <v>14</v>
      </c>
      <c r="L78">
        <f ca="1">MIN(DATEDIF(Tabla1[[#This Row],[FechaDesembolso]],TODAY(),"m"),Tabla1[[#This Row],[Plazos (Meses)]])</f>
        <v>14</v>
      </c>
      <c r="M78">
        <f t="shared" ca="1" si="11"/>
        <v>0</v>
      </c>
      <c r="N78" s="8" t="s">
        <v>1251</v>
      </c>
      <c r="O78" s="8" t="s">
        <v>1253</v>
      </c>
      <c r="P78" s="13">
        <f t="shared" ca="1" si="13"/>
        <v>0</v>
      </c>
      <c r="Q7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78" s="8" t="str">
        <f t="shared" ca="1" si="12"/>
        <v>Cancelado</v>
      </c>
      <c r="S78" t="str">
        <f ca="1">IF(Tabla1[[#This Row],[En Mora]]="No","",DATEDIF((EDATE(Tabla1[[#This Row],[FechaDesembolso]],Tabla1[[#This Row],[Mes de Mora]])),TODAY(),"d"))</f>
        <v/>
      </c>
    </row>
    <row r="79" spans="1:19" x14ac:dyDescent="0.25">
      <c r="A79" t="s">
        <v>921</v>
      </c>
      <c r="B79" t="s">
        <v>462</v>
      </c>
      <c r="C79" s="8" t="s">
        <v>33</v>
      </c>
      <c r="D79" s="8" t="str">
        <f>_xlfn.XLOOKUP(B79,Clientes!A:A,Clientes!G:G,"No encontrado",0)</f>
        <v>AG03</v>
      </c>
      <c r="E79" s="9">
        <v>45437</v>
      </c>
      <c r="F79" s="11">
        <v>12028</v>
      </c>
      <c r="G79" s="10">
        <v>0.33176959663549099</v>
      </c>
      <c r="H79" s="10">
        <f t="shared" si="8"/>
        <v>2.4163022020566638E-2</v>
      </c>
      <c r="I79">
        <v>43</v>
      </c>
      <c r="J79" s="12">
        <f t="shared" si="9"/>
        <v>452.84221371887423</v>
      </c>
      <c r="K79">
        <f t="shared" ca="1" si="10"/>
        <v>26</v>
      </c>
      <c r="L79">
        <f ca="1">MIN(DATEDIF(Tabla1[[#This Row],[FechaDesembolso]],TODAY(),"m"),Tabla1[[#This Row],[Plazos (Meses)]])</f>
        <v>26</v>
      </c>
      <c r="M79">
        <f t="shared" ca="1" si="11"/>
        <v>17</v>
      </c>
      <c r="N79" s="8" t="s">
        <v>1251</v>
      </c>
      <c r="O79" s="8" t="s">
        <v>1253</v>
      </c>
      <c r="P79" s="13">
        <f t="shared" ca="1" si="13"/>
        <v>12027.999999999998</v>
      </c>
      <c r="Q7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4501.1533706442187</v>
      </c>
      <c r="R79" s="8" t="str">
        <f t="shared" ca="1" si="12"/>
        <v>Vigente</v>
      </c>
      <c r="S79" t="str">
        <f ca="1">IF(Tabla1[[#This Row],[En Mora]]="No","",DATEDIF((EDATE(Tabla1[[#This Row],[FechaDesembolso]],Tabla1[[#This Row],[Mes de Mora]])),TODAY(),"d"))</f>
        <v/>
      </c>
    </row>
    <row r="80" spans="1:19" x14ac:dyDescent="0.25">
      <c r="A80" t="s">
        <v>922</v>
      </c>
      <c r="B80" t="s">
        <v>419</v>
      </c>
      <c r="C80" s="8" t="s">
        <v>33</v>
      </c>
      <c r="D80" s="8" t="str">
        <f>_xlfn.XLOOKUP(B80,Clientes!A:A,Clientes!G:G,"No encontrado",0)</f>
        <v>AG03</v>
      </c>
      <c r="E80" s="9">
        <v>45514</v>
      </c>
      <c r="F80" s="11">
        <v>25019</v>
      </c>
      <c r="G80" s="10">
        <v>0.38209544049296384</v>
      </c>
      <c r="H80" s="10">
        <f t="shared" si="8"/>
        <v>2.7333624744539042E-2</v>
      </c>
      <c r="I80">
        <v>43</v>
      </c>
      <c r="J80" s="12">
        <f t="shared" si="9"/>
        <v>996.33020768545964</v>
      </c>
      <c r="K80">
        <f t="shared" ca="1" si="10"/>
        <v>24</v>
      </c>
      <c r="L80">
        <f ca="1">MIN(DATEDIF(Tabla1[[#This Row],[FechaDesembolso]],TODAY(),"m"),Tabla1[[#This Row],[Plazos (Meses)]])</f>
        <v>24</v>
      </c>
      <c r="M80">
        <f t="shared" ca="1" si="11"/>
        <v>19</v>
      </c>
      <c r="N80" s="8" t="s">
        <v>1251</v>
      </c>
      <c r="O80" s="8" t="s">
        <v>1253</v>
      </c>
      <c r="P80" s="13">
        <f t="shared" ca="1" si="13"/>
        <v>25018.999999999993</v>
      </c>
      <c r="Q8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9947.8319611952156</v>
      </c>
      <c r="R80" s="8" t="str">
        <f t="shared" ca="1" si="12"/>
        <v>Vigente</v>
      </c>
      <c r="S80" t="str">
        <f ca="1">IF(Tabla1[[#This Row],[En Mora]]="No","",DATEDIF((EDATE(Tabla1[[#This Row],[FechaDesembolso]],Tabla1[[#This Row],[Mes de Mora]])),TODAY(),"d"))</f>
        <v/>
      </c>
    </row>
    <row r="81" spans="1:19" x14ac:dyDescent="0.25">
      <c r="A81" t="s">
        <v>923</v>
      </c>
      <c r="B81" t="s">
        <v>329</v>
      </c>
      <c r="C81" s="8" t="s">
        <v>33</v>
      </c>
      <c r="D81" s="8" t="str">
        <f>_xlfn.XLOOKUP(B81,Clientes!A:A,Clientes!G:G,"No encontrado",0)</f>
        <v>AG06</v>
      </c>
      <c r="E81" s="9">
        <v>45010</v>
      </c>
      <c r="F81" s="11">
        <v>3084</v>
      </c>
      <c r="G81" s="10">
        <v>0.27191153393196221</v>
      </c>
      <c r="H81" s="10">
        <f t="shared" si="8"/>
        <v>2.0245627392871723E-2</v>
      </c>
      <c r="I81">
        <v>43</v>
      </c>
      <c r="J81" s="12">
        <f t="shared" si="9"/>
        <v>108.09312681563991</v>
      </c>
      <c r="K81">
        <f t="shared" ca="1" si="10"/>
        <v>40</v>
      </c>
      <c r="L81">
        <f ca="1">MIN(DATEDIF(Tabla1[[#This Row],[FechaDesembolso]],TODAY(),"m"),Tabla1[[#This Row],[Plazos (Meses)]])</f>
        <v>40</v>
      </c>
      <c r="M81">
        <f t="shared" ca="1" si="11"/>
        <v>3</v>
      </c>
      <c r="N81" s="8" t="s">
        <v>1251</v>
      </c>
      <c r="O81" s="8" t="s">
        <v>1253</v>
      </c>
      <c r="P81" s="13">
        <f t="shared" ca="1" si="13"/>
        <v>3084.0000000000027</v>
      </c>
      <c r="Q8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1454.8878633232709</v>
      </c>
      <c r="R81" s="8" t="str">
        <f t="shared" ca="1" si="12"/>
        <v>Vigente</v>
      </c>
      <c r="S81" t="str">
        <f ca="1">IF(Tabla1[[#This Row],[En Mora]]="No","",DATEDIF((EDATE(Tabla1[[#This Row],[FechaDesembolso]],Tabla1[[#This Row],[Mes de Mora]])),TODAY(),"d"))</f>
        <v/>
      </c>
    </row>
    <row r="82" spans="1:19" x14ac:dyDescent="0.25">
      <c r="A82" t="s">
        <v>924</v>
      </c>
      <c r="B82" t="s">
        <v>263</v>
      </c>
      <c r="C82" s="8" t="s">
        <v>31</v>
      </c>
      <c r="D82" s="8" t="str">
        <f>_xlfn.XLOOKUP(B82,Clientes!A:A,Clientes!G:G,"No encontrado",0)</f>
        <v>AG07</v>
      </c>
      <c r="E82" s="9">
        <v>45334</v>
      </c>
      <c r="F82" s="11">
        <v>4308</v>
      </c>
      <c r="G82" s="10">
        <v>0.43821889242402112</v>
      </c>
      <c r="H82" s="10">
        <f t="shared" si="8"/>
        <v>3.0747007092928991E-2</v>
      </c>
      <c r="I82">
        <v>8</v>
      </c>
      <c r="J82" s="12">
        <f t="shared" si="9"/>
        <v>615.63751068294766</v>
      </c>
      <c r="K82">
        <f t="shared" ca="1" si="10"/>
        <v>8</v>
      </c>
      <c r="L82">
        <f ca="1">MIN(DATEDIF(Tabla1[[#This Row],[FechaDesembolso]],TODAY(),"m"),Tabla1[[#This Row],[Plazos (Meses)]])</f>
        <v>8</v>
      </c>
      <c r="M82">
        <f t="shared" ca="1" si="11"/>
        <v>0</v>
      </c>
      <c r="N82" s="8" t="s">
        <v>1251</v>
      </c>
      <c r="O82" s="8" t="s">
        <v>1253</v>
      </c>
      <c r="P82" s="13">
        <f t="shared" ca="1" si="13"/>
        <v>0</v>
      </c>
      <c r="Q8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82" s="8" t="str">
        <f t="shared" ca="1" si="12"/>
        <v>Cancelado</v>
      </c>
      <c r="S82" t="str">
        <f ca="1">IF(Tabla1[[#This Row],[En Mora]]="No","",DATEDIF((EDATE(Tabla1[[#This Row],[FechaDesembolso]],Tabla1[[#This Row],[Mes de Mora]])),TODAY(),"d"))</f>
        <v/>
      </c>
    </row>
    <row r="83" spans="1:19" x14ac:dyDescent="0.25">
      <c r="A83" t="s">
        <v>925</v>
      </c>
      <c r="B83" t="s">
        <v>251</v>
      </c>
      <c r="C83" s="8" t="s">
        <v>39</v>
      </c>
      <c r="D83" s="8" t="str">
        <f>_xlfn.XLOOKUP(B83,Clientes!A:A,Clientes!G:G,"No encontrado",0)</f>
        <v>AG08</v>
      </c>
      <c r="E83" s="9">
        <v>45739</v>
      </c>
      <c r="F83" s="11">
        <v>3635</v>
      </c>
      <c r="G83" s="10">
        <v>0.25665781609998795</v>
      </c>
      <c r="H83" s="10">
        <f t="shared" si="8"/>
        <v>1.9220350216800908E-2</v>
      </c>
      <c r="I83">
        <v>6</v>
      </c>
      <c r="J83" s="12">
        <f t="shared" si="9"/>
        <v>647.23491933714831</v>
      </c>
      <c r="K83">
        <f t="shared" ca="1" si="10"/>
        <v>6</v>
      </c>
      <c r="L83">
        <f ca="1">MIN(DATEDIF(Tabla1[[#This Row],[FechaDesembolso]],TODAY(),"m"),Tabla1[[#This Row],[Plazos (Meses)]])</f>
        <v>6</v>
      </c>
      <c r="M83">
        <f t="shared" ca="1" si="11"/>
        <v>0</v>
      </c>
      <c r="N83" s="8" t="s">
        <v>1251</v>
      </c>
      <c r="O83" s="8" t="s">
        <v>1253</v>
      </c>
      <c r="P83" s="13">
        <f t="shared" ca="1" si="13"/>
        <v>0</v>
      </c>
      <c r="Q8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83" s="8" t="str">
        <f t="shared" ca="1" si="12"/>
        <v>Cancelado</v>
      </c>
      <c r="S83" t="str">
        <f ca="1">IF(Tabla1[[#This Row],[En Mora]]="No","",DATEDIF((EDATE(Tabla1[[#This Row],[FechaDesembolso]],Tabla1[[#This Row],[Mes de Mora]])),TODAY(),"d"))</f>
        <v/>
      </c>
    </row>
    <row r="84" spans="1:19" x14ac:dyDescent="0.25">
      <c r="A84" t="s">
        <v>926</v>
      </c>
      <c r="B84" t="s">
        <v>116</v>
      </c>
      <c r="C84" s="8" t="s">
        <v>33</v>
      </c>
      <c r="D84" s="8" t="str">
        <f>_xlfn.XLOOKUP(B84,Clientes!A:A,Clientes!G:G,"No encontrado",0)</f>
        <v>AG06</v>
      </c>
      <c r="E84" s="9">
        <v>45693</v>
      </c>
      <c r="F84" s="11">
        <v>8044</v>
      </c>
      <c r="G84" s="10">
        <v>0.44301330457142585</v>
      </c>
      <c r="H84" s="10">
        <f t="shared" si="8"/>
        <v>3.1032909994426428E-2</v>
      </c>
      <c r="I84">
        <v>17</v>
      </c>
      <c r="J84" s="12">
        <f t="shared" si="9"/>
        <v>616.05480757321345</v>
      </c>
      <c r="K84">
        <f t="shared" ca="1" si="10"/>
        <v>17</v>
      </c>
      <c r="L84">
        <f ca="1">MIN(DATEDIF(Tabla1[[#This Row],[FechaDesembolso]],TODAY(),"m"),Tabla1[[#This Row],[Plazos (Meses)]])</f>
        <v>17</v>
      </c>
      <c r="M84">
        <f t="shared" ca="1" si="11"/>
        <v>0</v>
      </c>
      <c r="N84" s="8" t="s">
        <v>1251</v>
      </c>
      <c r="O84" s="8" t="s">
        <v>1253</v>
      </c>
      <c r="P84" s="13">
        <f t="shared" ca="1" si="13"/>
        <v>0</v>
      </c>
      <c r="Q8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84" s="8" t="str">
        <f t="shared" ca="1" si="12"/>
        <v>Cancelado</v>
      </c>
      <c r="S84" t="str">
        <f ca="1">IF(Tabla1[[#This Row],[En Mora]]="No","",DATEDIF((EDATE(Tabla1[[#This Row],[FechaDesembolso]],Tabla1[[#This Row],[Mes de Mora]])),TODAY(),"d"))</f>
        <v/>
      </c>
    </row>
    <row r="85" spans="1:19" x14ac:dyDescent="0.25">
      <c r="A85" t="s">
        <v>927</v>
      </c>
      <c r="B85" t="s">
        <v>735</v>
      </c>
      <c r="C85" s="8" t="s">
        <v>37</v>
      </c>
      <c r="D85" s="8" t="str">
        <f>_xlfn.XLOOKUP(B85,Clientes!A:A,Clientes!G:G,"No encontrado",0)</f>
        <v>AG04</v>
      </c>
      <c r="E85" s="9">
        <v>45972</v>
      </c>
      <c r="F85" s="11">
        <v>198999</v>
      </c>
      <c r="G85" s="10">
        <v>9.1538645295301563E-2</v>
      </c>
      <c r="H85" s="10">
        <f t="shared" si="8"/>
        <v>7.3257279842786627E-3</v>
      </c>
      <c r="I85">
        <v>176</v>
      </c>
      <c r="J85" s="12">
        <f t="shared" si="9"/>
        <v>2015.6507318430238</v>
      </c>
      <c r="K85">
        <f t="shared" ca="1" si="10"/>
        <v>9</v>
      </c>
      <c r="L85">
        <f ca="1">MIN(DATEDIF(Tabla1[[#This Row],[FechaDesembolso]],TODAY(),"m"),Tabla1[[#This Row],[Plazos (Meses)]])</f>
        <v>9</v>
      </c>
      <c r="M85">
        <f t="shared" ca="1" si="11"/>
        <v>167</v>
      </c>
      <c r="N85" s="8" t="s">
        <v>1251</v>
      </c>
      <c r="O85" s="8" t="s">
        <v>1253</v>
      </c>
      <c r="P85" s="13">
        <f t="shared" ca="1" si="13"/>
        <v>198999.00000000076</v>
      </c>
      <c r="Q8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7964.7713593144872</v>
      </c>
      <c r="R85" s="8" t="str">
        <f t="shared" ca="1" si="12"/>
        <v>Vigente</v>
      </c>
      <c r="S85" t="str">
        <f ca="1">IF(Tabla1[[#This Row],[En Mora]]="No","",DATEDIF((EDATE(Tabla1[[#This Row],[FechaDesembolso]],Tabla1[[#This Row],[Mes de Mora]])),TODAY(),"d"))</f>
        <v/>
      </c>
    </row>
    <row r="86" spans="1:19" x14ac:dyDescent="0.25">
      <c r="A86" t="s">
        <v>928</v>
      </c>
      <c r="B86" t="s">
        <v>666</v>
      </c>
      <c r="C86" s="8" t="s">
        <v>37</v>
      </c>
      <c r="D86" s="8" t="str">
        <f>_xlfn.XLOOKUP(B86,Clientes!A:A,Clientes!G:G,"No encontrado",0)</f>
        <v>AG03</v>
      </c>
      <c r="E86" s="9">
        <v>45959</v>
      </c>
      <c r="F86" s="11">
        <v>175545</v>
      </c>
      <c r="G86" s="10">
        <v>0.1080037403170807</v>
      </c>
      <c r="H86" s="10">
        <f t="shared" si="8"/>
        <v>8.5832906732206116E-3</v>
      </c>
      <c r="I86">
        <v>92</v>
      </c>
      <c r="J86" s="12">
        <f t="shared" si="9"/>
        <v>2767.3785044582651</v>
      </c>
      <c r="K86">
        <f t="shared" ca="1" si="10"/>
        <v>9</v>
      </c>
      <c r="L86">
        <f ca="1">MIN(DATEDIF(Tabla1[[#This Row],[FechaDesembolso]],TODAY(),"m"),Tabla1[[#This Row],[Plazos (Meses)]])</f>
        <v>9</v>
      </c>
      <c r="M86">
        <f t="shared" ca="1" si="11"/>
        <v>83</v>
      </c>
      <c r="N86" s="8" t="s">
        <v>1251</v>
      </c>
      <c r="O86" s="8" t="s">
        <v>1253</v>
      </c>
      <c r="P86" s="13">
        <f t="shared" ca="1" si="13"/>
        <v>175544.99999999956</v>
      </c>
      <c r="Q8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7733.5261053417771</v>
      </c>
      <c r="R86" s="8" t="str">
        <f t="shared" ca="1" si="12"/>
        <v>Vigente</v>
      </c>
      <c r="S86" t="str">
        <f ca="1">IF(Tabla1[[#This Row],[En Mora]]="No","",DATEDIF((EDATE(Tabla1[[#This Row],[FechaDesembolso]],Tabla1[[#This Row],[Mes de Mora]])),TODAY(),"d"))</f>
        <v/>
      </c>
    </row>
    <row r="87" spans="1:19" x14ac:dyDescent="0.25">
      <c r="A87" t="s">
        <v>929</v>
      </c>
      <c r="B87" t="s">
        <v>714</v>
      </c>
      <c r="C87" s="8" t="s">
        <v>33</v>
      </c>
      <c r="D87" s="8" t="str">
        <f>_xlfn.XLOOKUP(B87,Clientes!A:A,Clientes!G:G,"No encontrado",0)</f>
        <v>AG08</v>
      </c>
      <c r="E87" s="9">
        <v>45888</v>
      </c>
      <c r="F87" s="11">
        <v>13582</v>
      </c>
      <c r="G87" s="10">
        <v>0.44531990011741152</v>
      </c>
      <c r="H87" s="10">
        <f t="shared" si="8"/>
        <v>3.1170148009560084E-2</v>
      </c>
      <c r="I87">
        <v>31</v>
      </c>
      <c r="J87" s="12">
        <f t="shared" si="9"/>
        <v>689.67207402586348</v>
      </c>
      <c r="K87">
        <f t="shared" ca="1" si="10"/>
        <v>11</v>
      </c>
      <c r="L87">
        <f ca="1">MIN(DATEDIF(Tabla1[[#This Row],[FechaDesembolso]],TODAY(),"m"),Tabla1[[#This Row],[Plazos (Meses)]])</f>
        <v>11</v>
      </c>
      <c r="M87">
        <f t="shared" ca="1" si="11"/>
        <v>20</v>
      </c>
      <c r="N87" s="8" t="s">
        <v>1251</v>
      </c>
      <c r="O87" s="8" t="s">
        <v>1253</v>
      </c>
      <c r="P87" s="13">
        <f t="shared" ca="1" si="13"/>
        <v>13582.000000000009</v>
      </c>
      <c r="Q8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2766.9734594457886</v>
      </c>
      <c r="R87" s="8" t="str">
        <f t="shared" ca="1" si="12"/>
        <v>Vigente</v>
      </c>
      <c r="S87" t="str">
        <f ca="1">IF(Tabla1[[#This Row],[En Mora]]="No","",DATEDIF((EDATE(Tabla1[[#This Row],[FechaDesembolso]],Tabla1[[#This Row],[Mes de Mora]])),TODAY(),"d"))</f>
        <v/>
      </c>
    </row>
    <row r="88" spans="1:19" x14ac:dyDescent="0.25">
      <c r="A88" t="s">
        <v>930</v>
      </c>
      <c r="B88" t="s">
        <v>804</v>
      </c>
      <c r="C88" s="8" t="s">
        <v>31</v>
      </c>
      <c r="D88" s="8" t="str">
        <f>_xlfn.XLOOKUP(B88,Clientes!A:A,Clientes!G:G,"No encontrado",0)</f>
        <v>AG07</v>
      </c>
      <c r="E88" s="9">
        <v>45994</v>
      </c>
      <c r="F88" s="11">
        <v>2692</v>
      </c>
      <c r="G88" s="10">
        <v>0.41399581524257745</v>
      </c>
      <c r="H88" s="10">
        <f t="shared" si="8"/>
        <v>2.9289028865412847E-2</v>
      </c>
      <c r="I88">
        <v>24</v>
      </c>
      <c r="J88" s="12">
        <f t="shared" si="9"/>
        <v>157.74071745794149</v>
      </c>
      <c r="K88">
        <f t="shared" ca="1" si="10"/>
        <v>7</v>
      </c>
      <c r="L88">
        <f ca="1">MIN(DATEDIF(Tabla1[[#This Row],[FechaDesembolso]],TODAY(),"m"),Tabla1[[#This Row],[Plazos (Meses)]])</f>
        <v>8</v>
      </c>
      <c r="M88">
        <f t="shared" ca="1" si="11"/>
        <v>17</v>
      </c>
      <c r="N88" s="8" t="s">
        <v>1252</v>
      </c>
      <c r="O88" s="8">
        <v>7</v>
      </c>
      <c r="P88" s="13">
        <f t="shared" ca="1" si="13"/>
        <v>2691.9999999999991</v>
      </c>
      <c r="Q8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319.01835553892369</v>
      </c>
      <c r="R88" s="8" t="str">
        <f t="shared" si="12"/>
        <v>En mora</v>
      </c>
      <c r="S88">
        <f ca="1">IF(Tabla1[[#This Row],[En Mora]]="No","",DATEDIF((EDATE(Tabla1[[#This Row],[FechaDesembolso]],Tabla1[[#This Row],[Mes de Mora]])),TODAY(),"d"))</f>
        <v>40</v>
      </c>
    </row>
    <row r="89" spans="1:19" x14ac:dyDescent="0.25">
      <c r="A89" t="s">
        <v>931</v>
      </c>
      <c r="B89" t="s">
        <v>347</v>
      </c>
      <c r="C89" s="8" t="s">
        <v>33</v>
      </c>
      <c r="D89" s="8" t="str">
        <f>_xlfn.XLOOKUP(B89,Clientes!A:A,Clientes!G:G,"No encontrado",0)</f>
        <v>AG04</v>
      </c>
      <c r="E89" s="9">
        <v>45946</v>
      </c>
      <c r="F89" s="11">
        <v>29973</v>
      </c>
      <c r="G89" s="10">
        <v>0.42149873597315907</v>
      </c>
      <c r="H89" s="10">
        <f t="shared" si="8"/>
        <v>2.9743058725738125E-2</v>
      </c>
      <c r="I89">
        <v>8</v>
      </c>
      <c r="J89" s="12">
        <f t="shared" si="9"/>
        <v>4265.218561633309</v>
      </c>
      <c r="K89">
        <f t="shared" ca="1" si="10"/>
        <v>8</v>
      </c>
      <c r="L89">
        <f ca="1">MIN(DATEDIF(Tabla1[[#This Row],[FechaDesembolso]],TODAY(),"m"),Tabla1[[#This Row],[Plazos (Meses)]])</f>
        <v>8</v>
      </c>
      <c r="M89">
        <f t="shared" ca="1" si="11"/>
        <v>0</v>
      </c>
      <c r="N89" s="8" t="s">
        <v>1251</v>
      </c>
      <c r="O89" s="8" t="s">
        <v>1253</v>
      </c>
      <c r="P89" s="13">
        <f t="shared" ca="1" si="13"/>
        <v>0</v>
      </c>
      <c r="Q8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89" s="8" t="str">
        <f t="shared" ca="1" si="12"/>
        <v>Cancelado</v>
      </c>
      <c r="S89" t="str">
        <f ca="1">IF(Tabla1[[#This Row],[En Mora]]="No","",DATEDIF((EDATE(Tabla1[[#This Row],[FechaDesembolso]],Tabla1[[#This Row],[Mes de Mora]])),TODAY(),"d"))</f>
        <v/>
      </c>
    </row>
    <row r="90" spans="1:19" x14ac:dyDescent="0.25">
      <c r="A90" t="s">
        <v>932</v>
      </c>
      <c r="B90" t="s">
        <v>594</v>
      </c>
      <c r="C90" s="8" t="s">
        <v>39</v>
      </c>
      <c r="D90" s="8" t="str">
        <f>_xlfn.XLOOKUP(B90,Clientes!A:A,Clientes!G:G,"No encontrado",0)</f>
        <v>AG04</v>
      </c>
      <c r="E90" s="9">
        <v>45959</v>
      </c>
      <c r="F90" s="11">
        <v>5686</v>
      </c>
      <c r="G90" s="10">
        <v>0.36276308305098415</v>
      </c>
      <c r="H90" s="10">
        <f t="shared" si="8"/>
        <v>2.6128374003598021E-2</v>
      </c>
      <c r="I90">
        <v>6</v>
      </c>
      <c r="J90" s="12">
        <f t="shared" si="9"/>
        <v>1036.1921135155062</v>
      </c>
      <c r="K90">
        <f t="shared" ca="1" si="10"/>
        <v>6</v>
      </c>
      <c r="L90">
        <f ca="1">MIN(DATEDIF(Tabla1[[#This Row],[FechaDesembolso]],TODAY(),"m"),Tabla1[[#This Row],[Plazos (Meses)]])</f>
        <v>6</v>
      </c>
      <c r="M90">
        <f t="shared" ca="1" si="11"/>
        <v>0</v>
      </c>
      <c r="N90" s="8" t="s">
        <v>1251</v>
      </c>
      <c r="O90" s="8" t="s">
        <v>1253</v>
      </c>
      <c r="P90" s="13">
        <f t="shared" ca="1" si="13"/>
        <v>0</v>
      </c>
      <c r="Q9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90" s="8" t="str">
        <f t="shared" ca="1" si="12"/>
        <v>Cancelado</v>
      </c>
      <c r="S90" t="str">
        <f ca="1">IF(Tabla1[[#This Row],[En Mora]]="No","",DATEDIF((EDATE(Tabla1[[#This Row],[FechaDesembolso]],Tabla1[[#This Row],[Mes de Mora]])),TODAY(),"d"))</f>
        <v/>
      </c>
    </row>
    <row r="91" spans="1:19" x14ac:dyDescent="0.25">
      <c r="A91" t="s">
        <v>933</v>
      </c>
      <c r="B91" t="s">
        <v>804</v>
      </c>
      <c r="C91" s="8" t="s">
        <v>37</v>
      </c>
      <c r="D91" s="8" t="str">
        <f>_xlfn.XLOOKUP(B91,Clientes!A:A,Clientes!G:G,"No encontrado",0)</f>
        <v>AG07</v>
      </c>
      <c r="E91" s="9">
        <v>45970</v>
      </c>
      <c r="F91" s="11">
        <v>276140</v>
      </c>
      <c r="G91" s="10">
        <v>0.11385086607755933</v>
      </c>
      <c r="H91" s="10">
        <f t="shared" si="8"/>
        <v>9.025760403544858E-3</v>
      </c>
      <c r="I91">
        <v>63</v>
      </c>
      <c r="J91" s="12">
        <f t="shared" si="9"/>
        <v>5766.061233401143</v>
      </c>
      <c r="K91">
        <f t="shared" ca="1" si="10"/>
        <v>9</v>
      </c>
      <c r="L91">
        <f ca="1">MIN(DATEDIF(Tabla1[[#This Row],[FechaDesembolso]],TODAY(),"m"),Tabla1[[#This Row],[Plazos (Meses)]])</f>
        <v>9</v>
      </c>
      <c r="M91">
        <f t="shared" ca="1" si="11"/>
        <v>54</v>
      </c>
      <c r="N91" s="8" t="s">
        <v>1251</v>
      </c>
      <c r="O91" s="8" t="s">
        <v>1253</v>
      </c>
      <c r="P91" s="13">
        <f t="shared" ca="1" si="13"/>
        <v>276139.99999999948</v>
      </c>
      <c r="Q9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12445.97967203886</v>
      </c>
      <c r="R91" s="8" t="str">
        <f t="shared" ca="1" si="12"/>
        <v>Vigente</v>
      </c>
      <c r="S91" t="str">
        <f ca="1">IF(Tabla1[[#This Row],[En Mora]]="No","",DATEDIF((EDATE(Tabla1[[#This Row],[FechaDesembolso]],Tabla1[[#This Row],[Mes de Mora]])),TODAY(),"d"))</f>
        <v/>
      </c>
    </row>
    <row r="92" spans="1:19" x14ac:dyDescent="0.25">
      <c r="A92" t="s">
        <v>934</v>
      </c>
      <c r="B92" t="s">
        <v>591</v>
      </c>
      <c r="C92" s="8" t="s">
        <v>39</v>
      </c>
      <c r="D92" s="8" t="str">
        <f>_xlfn.XLOOKUP(B92,Clientes!A:A,Clientes!G:G,"No encontrado",0)</f>
        <v>AG06</v>
      </c>
      <c r="E92" s="9">
        <v>46183</v>
      </c>
      <c r="F92" s="11">
        <v>12352</v>
      </c>
      <c r="G92" s="10">
        <v>0.33923849419064883</v>
      </c>
      <c r="H92" s="10">
        <f t="shared" si="8"/>
        <v>2.4640442975424781E-2</v>
      </c>
      <c r="I92">
        <v>22</v>
      </c>
      <c r="J92" s="12">
        <f t="shared" si="9"/>
        <v>734.04110935641017</v>
      </c>
      <c r="K92">
        <f t="shared" ca="1" si="10"/>
        <v>2</v>
      </c>
      <c r="L92">
        <f ca="1">MIN(DATEDIF(Tabla1[[#This Row],[FechaDesembolso]],TODAY(),"m"),Tabla1[[#This Row],[Plazos (Meses)]])</f>
        <v>2</v>
      </c>
      <c r="M92">
        <f t="shared" ca="1" si="11"/>
        <v>20</v>
      </c>
      <c r="N92" s="8" t="s">
        <v>1251</v>
      </c>
      <c r="O92" s="8" t="s">
        <v>1253</v>
      </c>
      <c r="P92" s="13">
        <f t="shared" ca="1" si="13"/>
        <v>12352.000000000011</v>
      </c>
      <c r="Q9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345.17312780372941</v>
      </c>
      <c r="R92" s="8" t="str">
        <f t="shared" ca="1" si="12"/>
        <v>Vigente</v>
      </c>
      <c r="S92" t="str">
        <f ca="1">IF(Tabla1[[#This Row],[En Mora]]="No","",DATEDIF((EDATE(Tabla1[[#This Row],[FechaDesembolso]],Tabla1[[#This Row],[Mes de Mora]])),TODAY(),"d"))</f>
        <v/>
      </c>
    </row>
    <row r="93" spans="1:19" x14ac:dyDescent="0.25">
      <c r="A93" t="s">
        <v>935</v>
      </c>
      <c r="B93" t="s">
        <v>540</v>
      </c>
      <c r="C93" s="8" t="s">
        <v>37</v>
      </c>
      <c r="D93" s="8" t="str">
        <f>_xlfn.XLOOKUP(B93,Clientes!A:A,Clientes!G:G,"No encontrado",0)</f>
        <v>AG05</v>
      </c>
      <c r="E93" s="9">
        <v>45841</v>
      </c>
      <c r="F93" s="11">
        <v>114422</v>
      </c>
      <c r="G93" s="10">
        <v>0.10560698687149792</v>
      </c>
      <c r="H93" s="10">
        <f t="shared" si="8"/>
        <v>8.401302312548653E-3</v>
      </c>
      <c r="I93">
        <v>103</v>
      </c>
      <c r="J93" s="12">
        <f t="shared" si="9"/>
        <v>1664.3910472338566</v>
      </c>
      <c r="K93">
        <f t="shared" ca="1" si="10"/>
        <v>13</v>
      </c>
      <c r="L93">
        <f ca="1">MIN(DATEDIF(Tabla1[[#This Row],[FechaDesembolso]],TODAY(),"m"),Tabla1[[#This Row],[Plazos (Meses)]])</f>
        <v>13</v>
      </c>
      <c r="M93">
        <f t="shared" ca="1" si="11"/>
        <v>90</v>
      </c>
      <c r="N93" s="8" t="s">
        <v>1251</v>
      </c>
      <c r="O93" s="8" t="s">
        <v>1253</v>
      </c>
      <c r="P93" s="13">
        <f t="shared" ca="1" si="13"/>
        <v>114422.00000000004</v>
      </c>
      <c r="Q9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7195.4719635546999</v>
      </c>
      <c r="R93" s="8" t="str">
        <f t="shared" ca="1" si="12"/>
        <v>Vigente</v>
      </c>
      <c r="S93" t="str">
        <f ca="1">IF(Tabla1[[#This Row],[En Mora]]="No","",DATEDIF((EDATE(Tabla1[[#This Row],[FechaDesembolso]],Tabla1[[#This Row],[Mes de Mora]])),TODAY(),"d"))</f>
        <v/>
      </c>
    </row>
    <row r="94" spans="1:19" x14ac:dyDescent="0.25">
      <c r="A94" t="s">
        <v>936</v>
      </c>
      <c r="B94" t="s">
        <v>294</v>
      </c>
      <c r="C94" s="8" t="s">
        <v>31</v>
      </c>
      <c r="D94" s="8" t="str">
        <f>_xlfn.XLOOKUP(B94,Clientes!A:A,Clientes!G:G,"No encontrado",0)</f>
        <v>AG01</v>
      </c>
      <c r="E94" s="9">
        <v>45929</v>
      </c>
      <c r="F94" s="11">
        <v>942</v>
      </c>
      <c r="G94" s="10">
        <v>0.50294826108842372</v>
      </c>
      <c r="H94" s="10">
        <f t="shared" si="8"/>
        <v>3.4535351880840892E-2</v>
      </c>
      <c r="I94">
        <v>27</v>
      </c>
      <c r="J94" s="12">
        <f t="shared" si="9"/>
        <v>54.205190470589038</v>
      </c>
      <c r="K94">
        <f t="shared" ca="1" si="10"/>
        <v>10</v>
      </c>
      <c r="L94">
        <f ca="1">MIN(DATEDIF(Tabla1[[#This Row],[FechaDesembolso]],TODAY(),"m"),Tabla1[[#This Row],[Plazos (Meses)]])</f>
        <v>10</v>
      </c>
      <c r="M94">
        <f t="shared" ca="1" si="11"/>
        <v>17</v>
      </c>
      <c r="N94" s="8" t="s">
        <v>1251</v>
      </c>
      <c r="O94" s="8" t="s">
        <v>1253</v>
      </c>
      <c r="P94" s="13">
        <f t="shared" ca="1" si="13"/>
        <v>941.99999999999943</v>
      </c>
      <c r="Q9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193.16301581700145</v>
      </c>
      <c r="R94" s="8" t="str">
        <f t="shared" ca="1" si="12"/>
        <v>Vigente</v>
      </c>
      <c r="S94" t="str">
        <f ca="1">IF(Tabla1[[#This Row],[En Mora]]="No","",DATEDIF((EDATE(Tabla1[[#This Row],[FechaDesembolso]],Tabla1[[#This Row],[Mes de Mora]])),TODAY(),"d"))</f>
        <v/>
      </c>
    </row>
    <row r="95" spans="1:19" x14ac:dyDescent="0.25">
      <c r="A95" t="s">
        <v>937</v>
      </c>
      <c r="B95" t="s">
        <v>546</v>
      </c>
      <c r="C95" s="8" t="s">
        <v>35</v>
      </c>
      <c r="D95" s="8" t="str">
        <f>_xlfn.XLOOKUP(B95,Clientes!A:A,Clientes!G:G,"No encontrado",0)</f>
        <v>AG05</v>
      </c>
      <c r="E95" s="9">
        <v>45958</v>
      </c>
      <c r="F95" s="11">
        <v>69179</v>
      </c>
      <c r="G95" s="10">
        <v>0.21642699899450704</v>
      </c>
      <c r="H95" s="10">
        <f t="shared" si="8"/>
        <v>1.646049477970335E-2</v>
      </c>
      <c r="I95">
        <v>41</v>
      </c>
      <c r="J95" s="12">
        <f t="shared" si="9"/>
        <v>2333.5529603890859</v>
      </c>
      <c r="K95">
        <f t="shared" ca="1" si="10"/>
        <v>9</v>
      </c>
      <c r="L95">
        <f ca="1">MIN(DATEDIF(Tabla1[[#This Row],[FechaDesembolso]],TODAY(),"m"),Tabla1[[#This Row],[Plazos (Meses)]])</f>
        <v>9</v>
      </c>
      <c r="M95">
        <f t="shared" ca="1" si="11"/>
        <v>32</v>
      </c>
      <c r="N95" s="8" t="s">
        <v>1251</v>
      </c>
      <c r="O95" s="8" t="s">
        <v>1253</v>
      </c>
      <c r="P95" s="13">
        <f t="shared" ca="1" si="13"/>
        <v>69179.000000000073</v>
      </c>
      <c r="Q9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5816.3424971603081</v>
      </c>
      <c r="R95" s="8" t="str">
        <f t="shared" ca="1" si="12"/>
        <v>Vigente</v>
      </c>
      <c r="S95" t="str">
        <f ca="1">IF(Tabla1[[#This Row],[En Mora]]="No","",DATEDIF((EDATE(Tabla1[[#This Row],[FechaDesembolso]],Tabla1[[#This Row],[Mes de Mora]])),TODAY(),"d"))</f>
        <v/>
      </c>
    </row>
    <row r="96" spans="1:19" x14ac:dyDescent="0.25">
      <c r="A96" t="s">
        <v>938</v>
      </c>
      <c r="B96" t="s">
        <v>513</v>
      </c>
      <c r="C96" s="8" t="s">
        <v>33</v>
      </c>
      <c r="D96" s="8" t="str">
        <f>_xlfn.XLOOKUP(B96,Clientes!A:A,Clientes!G:G,"No encontrado",0)</f>
        <v>AG04</v>
      </c>
      <c r="E96" s="9">
        <v>46119</v>
      </c>
      <c r="F96" s="11">
        <v>5660</v>
      </c>
      <c r="G96" s="10">
        <v>0.3580861507628848</v>
      </c>
      <c r="H96" s="10">
        <f t="shared" si="8"/>
        <v>2.5834443086113712E-2</v>
      </c>
      <c r="I96">
        <v>23</v>
      </c>
      <c r="J96" s="12">
        <f t="shared" si="9"/>
        <v>329.47144009159445</v>
      </c>
      <c r="K96">
        <f t="shared" ca="1" si="10"/>
        <v>4</v>
      </c>
      <c r="L96">
        <f ca="1">MIN(DATEDIF(Tabla1[[#This Row],[FechaDesembolso]],TODAY(),"m"),Tabla1[[#This Row],[Plazos (Meses)]])</f>
        <v>4</v>
      </c>
      <c r="M96">
        <f t="shared" ca="1" si="11"/>
        <v>19</v>
      </c>
      <c r="N96" s="8" t="s">
        <v>1251</v>
      </c>
      <c r="O96" s="8" t="s">
        <v>1253</v>
      </c>
      <c r="P96" s="13">
        <f t="shared" ca="1" si="13"/>
        <v>5660</v>
      </c>
      <c r="Q9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333.53793427942122</v>
      </c>
      <c r="R96" s="8" t="str">
        <f t="shared" ca="1" si="12"/>
        <v>Vigente</v>
      </c>
      <c r="S96" t="str">
        <f ca="1">IF(Tabla1[[#This Row],[En Mora]]="No","",DATEDIF((EDATE(Tabla1[[#This Row],[FechaDesembolso]],Tabla1[[#This Row],[Mes de Mora]])),TODAY(),"d"))</f>
        <v/>
      </c>
    </row>
    <row r="97" spans="1:19" x14ac:dyDescent="0.25">
      <c r="A97" t="s">
        <v>939</v>
      </c>
      <c r="B97" t="s">
        <v>630</v>
      </c>
      <c r="C97" s="8" t="s">
        <v>33</v>
      </c>
      <c r="D97" s="8" t="str">
        <f>_xlfn.XLOOKUP(B97,Clientes!A:A,Clientes!G:G,"No encontrado",0)</f>
        <v>AG03</v>
      </c>
      <c r="E97" s="9">
        <v>45782</v>
      </c>
      <c r="F97" s="11">
        <v>13955</v>
      </c>
      <c r="G97" s="10">
        <v>0.3472548634650735</v>
      </c>
      <c r="H97" s="10">
        <f t="shared" si="8"/>
        <v>2.5150151003084709E-2</v>
      </c>
      <c r="I97">
        <v>23</v>
      </c>
      <c r="J97" s="12">
        <f t="shared" si="9"/>
        <v>806.44140858635467</v>
      </c>
      <c r="K97">
        <f t="shared" ca="1" si="10"/>
        <v>15</v>
      </c>
      <c r="L97">
        <f ca="1">MIN(DATEDIF(Tabla1[[#This Row],[FechaDesembolso]],TODAY(),"m"),Tabla1[[#This Row],[Plazos (Meses)]])</f>
        <v>15</v>
      </c>
      <c r="M97">
        <f t="shared" ca="1" si="11"/>
        <v>8</v>
      </c>
      <c r="N97" s="8" t="s">
        <v>1251</v>
      </c>
      <c r="O97" s="8" t="s">
        <v>1253</v>
      </c>
      <c r="P97" s="13">
        <f t="shared" ca="1" si="13"/>
        <v>13954.999999999996</v>
      </c>
      <c r="Q9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2995.5341722735798</v>
      </c>
      <c r="R97" s="8" t="str">
        <f t="shared" ca="1" si="12"/>
        <v>Vigente</v>
      </c>
      <c r="S97" t="str">
        <f ca="1">IF(Tabla1[[#This Row],[En Mora]]="No","",DATEDIF((EDATE(Tabla1[[#This Row],[FechaDesembolso]],Tabla1[[#This Row],[Mes de Mora]])),TODAY(),"d"))</f>
        <v/>
      </c>
    </row>
    <row r="98" spans="1:19" x14ac:dyDescent="0.25">
      <c r="A98" t="s">
        <v>940</v>
      </c>
      <c r="B98" t="s">
        <v>272</v>
      </c>
      <c r="C98" s="8" t="s">
        <v>39</v>
      </c>
      <c r="D98" s="8" t="str">
        <f>_xlfn.XLOOKUP(B98,Clientes!A:A,Clientes!G:G,"No encontrado",0)</f>
        <v>AG04</v>
      </c>
      <c r="E98" s="9">
        <v>44863</v>
      </c>
      <c r="F98" s="11">
        <v>2685</v>
      </c>
      <c r="G98" s="10">
        <v>0.23732123665580401</v>
      </c>
      <c r="H98" s="10">
        <f t="shared" si="8"/>
        <v>1.7904120135408652E-2</v>
      </c>
      <c r="I98">
        <v>13</v>
      </c>
      <c r="J98" s="12">
        <f t="shared" si="9"/>
        <v>233.34157327881113</v>
      </c>
      <c r="K98">
        <f t="shared" ca="1" si="10"/>
        <v>4</v>
      </c>
      <c r="L98">
        <f ca="1">MIN(DATEDIF(Tabla1[[#This Row],[FechaDesembolso]],TODAY(),"m"),Tabla1[[#This Row],[Plazos (Meses)]])</f>
        <v>13</v>
      </c>
      <c r="M98">
        <f t="shared" ca="1" si="11"/>
        <v>9</v>
      </c>
      <c r="N98" s="8" t="s">
        <v>1252</v>
      </c>
      <c r="O98" s="8">
        <v>4</v>
      </c>
      <c r="P98" s="13">
        <f t="shared" ca="1" si="13"/>
        <v>2684.9999999999964</v>
      </c>
      <c r="Q9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107.21244696139841</v>
      </c>
      <c r="R98" s="8" t="str">
        <f t="shared" si="12"/>
        <v>En mora</v>
      </c>
      <c r="S98">
        <f ca="1">IF(Tabla1[[#This Row],[En Mora]]="No","",DATEDIF((EDATE(Tabla1[[#This Row],[FechaDesembolso]],Tabla1[[#This Row],[Mes de Mora]])),TODAY(),"d"))</f>
        <v>1261</v>
      </c>
    </row>
    <row r="99" spans="1:19" x14ac:dyDescent="0.25">
      <c r="A99" t="s">
        <v>941</v>
      </c>
      <c r="B99" t="s">
        <v>401</v>
      </c>
      <c r="C99" s="8" t="s">
        <v>33</v>
      </c>
      <c r="D99" s="8" t="str">
        <f>_xlfn.XLOOKUP(B99,Clientes!A:A,Clientes!G:G,"No encontrado",0)</f>
        <v>AG06</v>
      </c>
      <c r="E99" s="9">
        <v>46091</v>
      </c>
      <c r="F99" s="11">
        <v>27737</v>
      </c>
      <c r="G99" s="10">
        <v>0.41025733076167514</v>
      </c>
      <c r="H99" s="10">
        <f t="shared" si="8"/>
        <v>2.906197421453971E-2</v>
      </c>
      <c r="I99">
        <v>43</v>
      </c>
      <c r="J99" s="12">
        <f t="shared" si="9"/>
        <v>1138.1496932931232</v>
      </c>
      <c r="K99">
        <f t="shared" ca="1" si="10"/>
        <v>5</v>
      </c>
      <c r="L99">
        <f ca="1">MIN(DATEDIF(Tabla1[[#This Row],[FechaDesembolso]],TODAY(),"m"),Tabla1[[#This Row],[Plazos (Meses)]])</f>
        <v>5</v>
      </c>
      <c r="M99">
        <f t="shared" ca="1" si="11"/>
        <v>38</v>
      </c>
      <c r="N99" s="8" t="s">
        <v>1251</v>
      </c>
      <c r="O99" s="8" t="s">
        <v>1253</v>
      </c>
      <c r="P99" s="13">
        <f t="shared" ca="1" si="13"/>
        <v>27736.999999999993</v>
      </c>
      <c r="Q9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2465.515908326081</v>
      </c>
      <c r="R99" s="8" t="str">
        <f t="shared" ca="1" si="12"/>
        <v>Vigente</v>
      </c>
      <c r="S99" t="str">
        <f ca="1">IF(Tabla1[[#This Row],[En Mora]]="No","",DATEDIF((EDATE(Tabla1[[#This Row],[FechaDesembolso]],Tabla1[[#This Row],[Mes de Mora]])),TODAY(),"d"))</f>
        <v/>
      </c>
    </row>
    <row r="100" spans="1:19" x14ac:dyDescent="0.25">
      <c r="A100" t="s">
        <v>942</v>
      </c>
      <c r="B100" t="s">
        <v>690</v>
      </c>
      <c r="C100" s="8" t="s">
        <v>31</v>
      </c>
      <c r="D100" s="8" t="str">
        <f>_xlfn.XLOOKUP(B100,Clientes!A:A,Clientes!G:G,"No encontrado",0)</f>
        <v>AG05</v>
      </c>
      <c r="E100" s="9">
        <v>45030</v>
      </c>
      <c r="F100" s="11">
        <v>6387</v>
      </c>
      <c r="G100" s="10">
        <v>0.39970388794700368</v>
      </c>
      <c r="H100" s="10">
        <f t="shared" si="8"/>
        <v>2.8418027043787264E-2</v>
      </c>
      <c r="I100">
        <v>16</v>
      </c>
      <c r="J100" s="12">
        <f t="shared" si="9"/>
        <v>502.34490806855177</v>
      </c>
      <c r="K100">
        <f t="shared" ca="1" si="10"/>
        <v>16</v>
      </c>
      <c r="L100">
        <f ca="1">MIN(DATEDIF(Tabla1[[#This Row],[FechaDesembolso]],TODAY(),"m"),Tabla1[[#This Row],[Plazos (Meses)]])</f>
        <v>16</v>
      </c>
      <c r="M100">
        <f t="shared" ca="1" si="11"/>
        <v>0</v>
      </c>
      <c r="N100" s="8" t="s">
        <v>1251</v>
      </c>
      <c r="O100" s="8" t="s">
        <v>1253</v>
      </c>
      <c r="P100" s="13">
        <f t="shared" ca="1" si="13"/>
        <v>0</v>
      </c>
      <c r="Q10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00" s="8" t="str">
        <f t="shared" ca="1" si="12"/>
        <v>Cancelado</v>
      </c>
      <c r="S100" t="str">
        <f ca="1">IF(Tabla1[[#This Row],[En Mora]]="No","",DATEDIF((EDATE(Tabla1[[#This Row],[FechaDesembolso]],Tabla1[[#This Row],[Mes de Mora]])),TODAY(),"d"))</f>
        <v/>
      </c>
    </row>
    <row r="101" spans="1:19" x14ac:dyDescent="0.25">
      <c r="A101" t="s">
        <v>943</v>
      </c>
      <c r="B101" t="s">
        <v>639</v>
      </c>
      <c r="C101" s="8" t="s">
        <v>33</v>
      </c>
      <c r="D101" s="8" t="str">
        <f>_xlfn.XLOOKUP(B101,Clientes!A:A,Clientes!G:G,"No encontrado",0)</f>
        <v>AG07</v>
      </c>
      <c r="E101" s="9">
        <v>46133</v>
      </c>
      <c r="F101" s="11">
        <v>42190</v>
      </c>
      <c r="G101" s="10">
        <v>0.34626386978847407</v>
      </c>
      <c r="H101" s="10">
        <f t="shared" si="8"/>
        <v>2.5087291084118446E-2</v>
      </c>
      <c r="I101">
        <v>25</v>
      </c>
      <c r="J101" s="12">
        <f t="shared" si="9"/>
        <v>2292.1880727241514</v>
      </c>
      <c r="K101">
        <f t="shared" ca="1" si="10"/>
        <v>3</v>
      </c>
      <c r="L101">
        <f ca="1">MIN(DATEDIF(Tabla1[[#This Row],[FechaDesembolso]],TODAY(),"m"),Tabla1[[#This Row],[Plazos (Meses)]])</f>
        <v>3</v>
      </c>
      <c r="M101">
        <f t="shared" ca="1" si="11"/>
        <v>22</v>
      </c>
      <c r="N101" s="8" t="s">
        <v>1252</v>
      </c>
      <c r="O101" s="8">
        <v>3</v>
      </c>
      <c r="P101" s="13">
        <f t="shared" ca="1" si="13"/>
        <v>42189.999999999971</v>
      </c>
      <c r="Q10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1813.7642181724543</v>
      </c>
      <c r="R101" s="8" t="str">
        <f t="shared" si="12"/>
        <v>En mora</v>
      </c>
      <c r="S101">
        <f ca="1">IF(Tabla1[[#This Row],[En Mora]]="No","",DATEDIF((EDATE(Tabla1[[#This Row],[FechaDesembolso]],Tabla1[[#This Row],[Mes de Mora]])),TODAY(),"d"))</f>
        <v>22</v>
      </c>
    </row>
    <row r="102" spans="1:19" x14ac:dyDescent="0.25">
      <c r="A102" t="s">
        <v>944</v>
      </c>
      <c r="B102" t="s">
        <v>229</v>
      </c>
      <c r="C102" s="8" t="s">
        <v>37</v>
      </c>
      <c r="D102" s="8" t="str">
        <f>_xlfn.XLOOKUP(B102,Clientes!A:A,Clientes!G:G,"No encontrado",0)</f>
        <v>AG05</v>
      </c>
      <c r="E102" s="9">
        <v>45075</v>
      </c>
      <c r="F102" s="11">
        <v>116249</v>
      </c>
      <c r="G102" s="10">
        <v>0.10020144985702277</v>
      </c>
      <c r="H102" s="10">
        <f t="shared" si="8"/>
        <v>7.9895221868162558E-3</v>
      </c>
      <c r="I102">
        <v>180</v>
      </c>
      <c r="J102" s="12">
        <f t="shared" si="9"/>
        <v>1220.0409086232423</v>
      </c>
      <c r="K102">
        <f t="shared" ca="1" si="10"/>
        <v>38</v>
      </c>
      <c r="L102">
        <f ca="1">MIN(DATEDIF(Tabla1[[#This Row],[FechaDesembolso]],TODAY(),"m"),Tabla1[[#This Row],[Plazos (Meses)]])</f>
        <v>38</v>
      </c>
      <c r="M102">
        <f t="shared" ca="1" si="11"/>
        <v>142</v>
      </c>
      <c r="N102" s="8" t="s">
        <v>1251</v>
      </c>
      <c r="O102" s="8" t="s">
        <v>1253</v>
      </c>
      <c r="P102" s="13">
        <f t="shared" ca="1" si="13"/>
        <v>116249.00000000017</v>
      </c>
      <c r="Q10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21820.098972127653</v>
      </c>
      <c r="R102" s="8" t="str">
        <f t="shared" ca="1" si="12"/>
        <v>Vigente</v>
      </c>
      <c r="S102" t="str">
        <f ca="1">IF(Tabla1[[#This Row],[En Mora]]="No","",DATEDIF((EDATE(Tabla1[[#This Row],[FechaDesembolso]],Tabla1[[#This Row],[Mes de Mora]])),TODAY(),"d"))</f>
        <v/>
      </c>
    </row>
    <row r="103" spans="1:19" x14ac:dyDescent="0.25">
      <c r="A103" t="s">
        <v>945</v>
      </c>
      <c r="B103" t="s">
        <v>651</v>
      </c>
      <c r="C103" s="8" t="s">
        <v>39</v>
      </c>
      <c r="D103" s="8" t="str">
        <f>_xlfn.XLOOKUP(B103,Clientes!A:A,Clientes!G:G,"No encontrado",0)</f>
        <v>AG03</v>
      </c>
      <c r="E103" s="9">
        <v>45585</v>
      </c>
      <c r="F103" s="11">
        <v>17345</v>
      </c>
      <c r="G103" s="10">
        <v>0.28894213382496847</v>
      </c>
      <c r="H103" s="10">
        <f t="shared" si="8"/>
        <v>2.1377104543337744E-2</v>
      </c>
      <c r="I103">
        <v>7</v>
      </c>
      <c r="J103" s="12">
        <f t="shared" si="9"/>
        <v>2694.2147152260363</v>
      </c>
      <c r="K103">
        <f t="shared" ca="1" si="10"/>
        <v>7</v>
      </c>
      <c r="L103">
        <f ca="1">MIN(DATEDIF(Tabla1[[#This Row],[FechaDesembolso]],TODAY(),"m"),Tabla1[[#This Row],[Plazos (Meses)]])</f>
        <v>7</v>
      </c>
      <c r="M103">
        <f t="shared" ca="1" si="11"/>
        <v>0</v>
      </c>
      <c r="N103" s="8" t="s">
        <v>1251</v>
      </c>
      <c r="O103" s="8" t="s">
        <v>1253</v>
      </c>
      <c r="P103" s="13">
        <f t="shared" ca="1" si="13"/>
        <v>0</v>
      </c>
      <c r="Q10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03" s="8" t="str">
        <f t="shared" ca="1" si="12"/>
        <v>Cancelado</v>
      </c>
      <c r="S103" t="str">
        <f ca="1">IF(Tabla1[[#This Row],[En Mora]]="No","",DATEDIF((EDATE(Tabla1[[#This Row],[FechaDesembolso]],Tabla1[[#This Row],[Mes de Mora]])),TODAY(),"d"))</f>
        <v/>
      </c>
    </row>
    <row r="104" spans="1:19" x14ac:dyDescent="0.25">
      <c r="A104" t="s">
        <v>946</v>
      </c>
      <c r="B104" t="s">
        <v>254</v>
      </c>
      <c r="C104" s="8" t="s">
        <v>37</v>
      </c>
      <c r="D104" s="8" t="str">
        <f>_xlfn.XLOOKUP(B104,Clientes!A:A,Clientes!G:G,"No encontrado",0)</f>
        <v>AG02</v>
      </c>
      <c r="E104" s="9">
        <v>46044</v>
      </c>
      <c r="F104" s="11">
        <v>296640</v>
      </c>
      <c r="G104" s="10">
        <v>0.1202673414658213</v>
      </c>
      <c r="H104" s="10">
        <f t="shared" si="8"/>
        <v>9.5088709623072365E-3</v>
      </c>
      <c r="I104">
        <v>169</v>
      </c>
      <c r="J104" s="12">
        <f t="shared" si="9"/>
        <v>3534.7983538951221</v>
      </c>
      <c r="K104">
        <f t="shared" ca="1" si="10"/>
        <v>6</v>
      </c>
      <c r="L104">
        <f ca="1">MIN(DATEDIF(Tabla1[[#This Row],[FechaDesembolso]],TODAY(),"m"),Tabla1[[#This Row],[Plazos (Meses)]])</f>
        <v>6</v>
      </c>
      <c r="M104">
        <f t="shared" ca="1" si="11"/>
        <v>163</v>
      </c>
      <c r="N104" s="8" t="s">
        <v>1251</v>
      </c>
      <c r="O104" s="8" t="s">
        <v>1253</v>
      </c>
      <c r="P104" s="13">
        <f t="shared" ca="1" si="13"/>
        <v>296640.00000000029</v>
      </c>
      <c r="Q10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10677.192490234638</v>
      </c>
      <c r="R104" s="8" t="str">
        <f t="shared" ca="1" si="12"/>
        <v>Vigente</v>
      </c>
      <c r="S104" t="str">
        <f ca="1">IF(Tabla1[[#This Row],[En Mora]]="No","",DATEDIF((EDATE(Tabla1[[#This Row],[FechaDesembolso]],Tabla1[[#This Row],[Mes de Mora]])),TODAY(),"d"))</f>
        <v/>
      </c>
    </row>
    <row r="105" spans="1:19" x14ac:dyDescent="0.25">
      <c r="A105" t="s">
        <v>947</v>
      </c>
      <c r="B105" t="s">
        <v>456</v>
      </c>
      <c r="C105" s="8" t="s">
        <v>33</v>
      </c>
      <c r="D105" s="8" t="str">
        <f>_xlfn.XLOOKUP(B105,Clientes!A:A,Clientes!G:G,"No encontrado",0)</f>
        <v>AG01</v>
      </c>
      <c r="E105" s="9">
        <v>46127</v>
      </c>
      <c r="F105" s="11">
        <v>7527</v>
      </c>
      <c r="G105" s="10">
        <v>0.27023028002992305</v>
      </c>
      <c r="H105" s="10">
        <f t="shared" si="8"/>
        <v>2.0133176437034495E-2</v>
      </c>
      <c r="I105">
        <v>29</v>
      </c>
      <c r="J105" s="12">
        <f t="shared" si="9"/>
        <v>345.18679885124408</v>
      </c>
      <c r="K105">
        <f t="shared" ca="1" si="10"/>
        <v>3</v>
      </c>
      <c r="L105">
        <f ca="1">MIN(DATEDIF(Tabla1[[#This Row],[FechaDesembolso]],TODAY(),"m"),Tabla1[[#This Row],[Plazos (Meses)]])</f>
        <v>3</v>
      </c>
      <c r="M105">
        <f t="shared" ca="1" si="11"/>
        <v>26</v>
      </c>
      <c r="N105" s="8" t="s">
        <v>1251</v>
      </c>
      <c r="O105" s="8" t="s">
        <v>1253</v>
      </c>
      <c r="P105" s="13">
        <f t="shared" ca="1" si="13"/>
        <v>7526.9999999999918</v>
      </c>
      <c r="Q10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256.90522413993915</v>
      </c>
      <c r="R105" s="8" t="str">
        <f t="shared" ca="1" si="12"/>
        <v>Vigente</v>
      </c>
      <c r="S105" t="str">
        <f ca="1">IF(Tabla1[[#This Row],[En Mora]]="No","",DATEDIF((EDATE(Tabla1[[#This Row],[FechaDesembolso]],Tabla1[[#This Row],[Mes de Mora]])),TODAY(),"d"))</f>
        <v/>
      </c>
    </row>
    <row r="106" spans="1:19" x14ac:dyDescent="0.25">
      <c r="A106" t="s">
        <v>948</v>
      </c>
      <c r="B106" t="s">
        <v>585</v>
      </c>
      <c r="C106" s="8" t="s">
        <v>35</v>
      </c>
      <c r="D106" s="8" t="str">
        <f>_xlfn.XLOOKUP(B106,Clientes!A:A,Clientes!G:G,"No encontrado",0)</f>
        <v>AG08</v>
      </c>
      <c r="E106" s="9">
        <v>46064</v>
      </c>
      <c r="F106" s="11">
        <v>80940</v>
      </c>
      <c r="G106" s="10">
        <v>0.30901320457826209</v>
      </c>
      <c r="H106" s="10">
        <f t="shared" si="8"/>
        <v>2.2693123085777867E-2</v>
      </c>
      <c r="I106">
        <v>24</v>
      </c>
      <c r="J106" s="12">
        <f t="shared" si="9"/>
        <v>4411.0509015588377</v>
      </c>
      <c r="K106">
        <f t="shared" ca="1" si="10"/>
        <v>6</v>
      </c>
      <c r="L106">
        <f ca="1">MIN(DATEDIF(Tabla1[[#This Row],[FechaDesembolso]],TODAY(),"m"),Tabla1[[#This Row],[Plazos (Meses)]])</f>
        <v>6</v>
      </c>
      <c r="M106">
        <f t="shared" ca="1" si="11"/>
        <v>18</v>
      </c>
      <c r="N106" s="8" t="s">
        <v>1251</v>
      </c>
      <c r="O106" s="8" t="s">
        <v>1253</v>
      </c>
      <c r="P106" s="13">
        <f t="shared" ca="1" si="13"/>
        <v>80940.000000000058</v>
      </c>
      <c r="Q10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6231.3054093530263</v>
      </c>
      <c r="R106" s="8" t="str">
        <f t="shared" ca="1" si="12"/>
        <v>Vigente</v>
      </c>
      <c r="S106" t="str">
        <f ca="1">IF(Tabla1[[#This Row],[En Mora]]="No","",DATEDIF((EDATE(Tabla1[[#This Row],[FechaDesembolso]],Tabla1[[#This Row],[Mes de Mora]])),TODAY(),"d"))</f>
        <v/>
      </c>
    </row>
    <row r="107" spans="1:19" x14ac:dyDescent="0.25">
      <c r="A107" t="s">
        <v>949</v>
      </c>
      <c r="B107" t="s">
        <v>210</v>
      </c>
      <c r="C107" s="8" t="s">
        <v>31</v>
      </c>
      <c r="D107" s="8" t="str">
        <f>_xlfn.XLOOKUP(B107,Clientes!A:A,Clientes!G:G,"No encontrado",0)</f>
        <v>AG05</v>
      </c>
      <c r="E107" s="9">
        <v>45726</v>
      </c>
      <c r="F107" s="11">
        <v>4958</v>
      </c>
      <c r="G107" s="10">
        <v>0.37669055380059369</v>
      </c>
      <c r="H107" s="10">
        <f t="shared" si="8"/>
        <v>2.6998228274724534E-2</v>
      </c>
      <c r="I107">
        <v>18</v>
      </c>
      <c r="J107" s="12">
        <f t="shared" si="9"/>
        <v>351.40338727218</v>
      </c>
      <c r="K107">
        <f t="shared" ca="1" si="10"/>
        <v>17</v>
      </c>
      <c r="L107">
        <f ca="1">MIN(DATEDIF(Tabla1[[#This Row],[FechaDesembolso]],TODAY(),"m"),Tabla1[[#This Row],[Plazos (Meses)]])</f>
        <v>17</v>
      </c>
      <c r="M107">
        <f t="shared" ca="1" si="11"/>
        <v>1</v>
      </c>
      <c r="N107" s="8" t="s">
        <v>1251</v>
      </c>
      <c r="O107" s="8" t="s">
        <v>1253</v>
      </c>
      <c r="P107" s="13">
        <f t="shared" ca="1" si="13"/>
        <v>4957.9999999999955</v>
      </c>
      <c r="Q10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1291.3020280715048</v>
      </c>
      <c r="R107" s="8" t="str">
        <f t="shared" ca="1" si="12"/>
        <v>Vigente</v>
      </c>
      <c r="S107" t="str">
        <f ca="1">IF(Tabla1[[#This Row],[En Mora]]="No","",DATEDIF((EDATE(Tabla1[[#This Row],[FechaDesembolso]],Tabla1[[#This Row],[Mes de Mora]])),TODAY(),"d"))</f>
        <v/>
      </c>
    </row>
    <row r="108" spans="1:19" x14ac:dyDescent="0.25">
      <c r="A108" t="s">
        <v>950</v>
      </c>
      <c r="B108" t="s">
        <v>654</v>
      </c>
      <c r="C108" s="8" t="s">
        <v>31</v>
      </c>
      <c r="D108" s="8" t="str">
        <f>_xlfn.XLOOKUP(B108,Clientes!A:A,Clientes!G:G,"No encontrado",0)</f>
        <v>AG08</v>
      </c>
      <c r="E108" s="9">
        <v>46197</v>
      </c>
      <c r="F108" s="11">
        <v>12402</v>
      </c>
      <c r="G108" s="10">
        <v>0.44324995515549864</v>
      </c>
      <c r="H108" s="10">
        <f t="shared" si="8"/>
        <v>3.1046999504292128E-2</v>
      </c>
      <c r="I108">
        <v>36</v>
      </c>
      <c r="J108" s="12">
        <f t="shared" si="9"/>
        <v>576.96786189482646</v>
      </c>
      <c r="K108">
        <f t="shared" ca="1" si="10"/>
        <v>1</v>
      </c>
      <c r="L108">
        <f ca="1">MIN(DATEDIF(Tabla1[[#This Row],[FechaDesembolso]],TODAY(),"m"),Tabla1[[#This Row],[Plazos (Meses)]])</f>
        <v>1</v>
      </c>
      <c r="M108">
        <f t="shared" ca="1" si="11"/>
        <v>35</v>
      </c>
      <c r="N108" s="8" t="s">
        <v>1251</v>
      </c>
      <c r="O108" s="8" t="s">
        <v>1253</v>
      </c>
      <c r="P108" s="13">
        <f t="shared" ca="1" si="13"/>
        <v>12402</v>
      </c>
      <c r="Q10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232.46786189482646</v>
      </c>
      <c r="R108" s="8" t="str">
        <f t="shared" ca="1" si="12"/>
        <v>Vigente</v>
      </c>
      <c r="S108" t="str">
        <f ca="1">IF(Tabla1[[#This Row],[En Mora]]="No","",DATEDIF((EDATE(Tabla1[[#This Row],[FechaDesembolso]],Tabla1[[#This Row],[Mes de Mora]])),TODAY(),"d"))</f>
        <v/>
      </c>
    </row>
    <row r="109" spans="1:19" x14ac:dyDescent="0.25">
      <c r="A109" t="s">
        <v>951</v>
      </c>
      <c r="B109" t="s">
        <v>747</v>
      </c>
      <c r="C109" s="8" t="s">
        <v>35</v>
      </c>
      <c r="D109" s="8" t="str">
        <f>_xlfn.XLOOKUP(B109,Clientes!A:A,Clientes!G:G,"No encontrado",0)</f>
        <v>AG05</v>
      </c>
      <c r="E109" s="9">
        <v>46081</v>
      </c>
      <c r="F109" s="11">
        <v>81719</v>
      </c>
      <c r="G109" s="10">
        <v>0.2611588911765268</v>
      </c>
      <c r="H109" s="10">
        <f t="shared" si="8"/>
        <v>1.9524070743855315E-2</v>
      </c>
      <c r="I109">
        <v>35</v>
      </c>
      <c r="J109" s="12">
        <f t="shared" si="9"/>
        <v>3244.591936948741</v>
      </c>
      <c r="K109">
        <f t="shared" ca="1" si="10"/>
        <v>5</v>
      </c>
      <c r="L109">
        <f ca="1">MIN(DATEDIF(Tabla1[[#This Row],[FechaDesembolso]],TODAY(),"m"),Tabla1[[#This Row],[Plazos (Meses)]])</f>
        <v>5</v>
      </c>
      <c r="M109">
        <f t="shared" ca="1" si="11"/>
        <v>30</v>
      </c>
      <c r="N109" s="8" t="s">
        <v>1251</v>
      </c>
      <c r="O109" s="8" t="s">
        <v>1253</v>
      </c>
      <c r="P109" s="13">
        <f t="shared" ca="1" si="13"/>
        <v>81719.000000000102</v>
      </c>
      <c r="Q10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4548.8168276008482</v>
      </c>
      <c r="R109" s="8" t="str">
        <f t="shared" ca="1" si="12"/>
        <v>Vigente</v>
      </c>
      <c r="S109" t="str">
        <f ca="1">IF(Tabla1[[#This Row],[En Mora]]="No","",DATEDIF((EDATE(Tabla1[[#This Row],[FechaDesembolso]],Tabla1[[#This Row],[Mes de Mora]])),TODAY(),"d"))</f>
        <v/>
      </c>
    </row>
    <row r="110" spans="1:19" x14ac:dyDescent="0.25">
      <c r="A110" t="s">
        <v>952</v>
      </c>
      <c r="B110" t="s">
        <v>226</v>
      </c>
      <c r="C110" s="8" t="s">
        <v>33</v>
      </c>
      <c r="D110" s="8" t="str">
        <f>_xlfn.XLOOKUP(B110,Clientes!A:A,Clientes!G:G,"No encontrado",0)</f>
        <v>AG07</v>
      </c>
      <c r="E110" s="9">
        <v>45653</v>
      </c>
      <c r="F110" s="11">
        <v>2545</v>
      </c>
      <c r="G110" s="10">
        <v>0.44737956425451786</v>
      </c>
      <c r="H110" s="10">
        <f t="shared" si="8"/>
        <v>3.1292524506148167E-2</v>
      </c>
      <c r="I110">
        <v>38</v>
      </c>
      <c r="J110" s="12">
        <f t="shared" si="9"/>
        <v>115.43472766242624</v>
      </c>
      <c r="K110">
        <f t="shared" ca="1" si="10"/>
        <v>19</v>
      </c>
      <c r="L110">
        <f ca="1">MIN(DATEDIF(Tabla1[[#This Row],[FechaDesembolso]],TODAY(),"m"),Tabla1[[#This Row],[Plazos (Meses)]])</f>
        <v>19</v>
      </c>
      <c r="M110">
        <f t="shared" ca="1" si="11"/>
        <v>19</v>
      </c>
      <c r="N110" s="8" t="s">
        <v>1251</v>
      </c>
      <c r="O110" s="8" t="s">
        <v>1253</v>
      </c>
      <c r="P110" s="13">
        <f t="shared" ca="1" si="13"/>
        <v>2544.9999999999991</v>
      </c>
      <c r="Q11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920.75982558609849</v>
      </c>
      <c r="R110" s="8" t="str">
        <f t="shared" ca="1" si="12"/>
        <v>Vigente</v>
      </c>
      <c r="S110" t="str">
        <f ca="1">IF(Tabla1[[#This Row],[En Mora]]="No","",DATEDIF((EDATE(Tabla1[[#This Row],[FechaDesembolso]],Tabla1[[#This Row],[Mes de Mora]])),TODAY(),"d"))</f>
        <v/>
      </c>
    </row>
    <row r="111" spans="1:19" x14ac:dyDescent="0.25">
      <c r="A111" t="s">
        <v>953</v>
      </c>
      <c r="B111" t="s">
        <v>783</v>
      </c>
      <c r="C111" s="8" t="s">
        <v>33</v>
      </c>
      <c r="D111" s="8" t="str">
        <f>_xlfn.XLOOKUP(B111,Clientes!A:A,Clientes!G:G,"No encontrado",0)</f>
        <v>AG02</v>
      </c>
      <c r="E111" s="9">
        <v>44783</v>
      </c>
      <c r="F111" s="11">
        <v>13554</v>
      </c>
      <c r="G111" s="10">
        <v>0.33268453004137583</v>
      </c>
      <c r="H111" s="10">
        <f t="shared" si="8"/>
        <v>2.4221637392203954E-2</v>
      </c>
      <c r="I111">
        <v>45</v>
      </c>
      <c r="J111" s="12">
        <f t="shared" si="9"/>
        <v>497.89341382658932</v>
      </c>
      <c r="K111">
        <f t="shared" ca="1" si="10"/>
        <v>45</v>
      </c>
      <c r="L111">
        <f ca="1">MIN(DATEDIF(Tabla1[[#This Row],[FechaDesembolso]],TODAY(),"m"),Tabla1[[#This Row],[Plazos (Meses)]])</f>
        <v>45</v>
      </c>
      <c r="M111">
        <f t="shared" ca="1" si="11"/>
        <v>0</v>
      </c>
      <c r="N111" s="8" t="s">
        <v>1251</v>
      </c>
      <c r="O111" s="8" t="s">
        <v>1253</v>
      </c>
      <c r="P111" s="13">
        <f t="shared" ca="1" si="13"/>
        <v>0</v>
      </c>
      <c r="Q11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11" s="8" t="str">
        <f t="shared" ca="1" si="12"/>
        <v>Cancelado</v>
      </c>
      <c r="S111" t="str">
        <f ca="1">IF(Tabla1[[#This Row],[En Mora]]="No","",DATEDIF((EDATE(Tabla1[[#This Row],[FechaDesembolso]],Tabla1[[#This Row],[Mes de Mora]])),TODAY(),"d"))</f>
        <v/>
      </c>
    </row>
    <row r="112" spans="1:19" x14ac:dyDescent="0.25">
      <c r="A112" t="s">
        <v>954</v>
      </c>
      <c r="B112" t="s">
        <v>441</v>
      </c>
      <c r="C112" s="8" t="s">
        <v>37</v>
      </c>
      <c r="D112" s="8" t="str">
        <f>_xlfn.XLOOKUP(B112,Clientes!A:A,Clientes!G:G,"No encontrado",0)</f>
        <v>AG03</v>
      </c>
      <c r="E112" s="9">
        <v>46209</v>
      </c>
      <c r="F112" s="11">
        <v>105606</v>
      </c>
      <c r="G112" s="10">
        <v>0.12403251610072086</v>
      </c>
      <c r="H112" s="10">
        <f t="shared" si="8"/>
        <v>9.791179659037752E-3</v>
      </c>
      <c r="I112">
        <v>156</v>
      </c>
      <c r="J112" s="12">
        <f t="shared" si="9"/>
        <v>1323.4667154535607</v>
      </c>
      <c r="K112">
        <f t="shared" ca="1" si="10"/>
        <v>1</v>
      </c>
      <c r="L112">
        <f ca="1">MIN(DATEDIF(Tabla1[[#This Row],[FechaDesembolso]],TODAY(),"m"),Tabla1[[#This Row],[Plazos (Meses)]])</f>
        <v>1</v>
      </c>
      <c r="M112">
        <f t="shared" ca="1" si="11"/>
        <v>155</v>
      </c>
      <c r="N112" s="8" t="s">
        <v>1251</v>
      </c>
      <c r="O112" s="8" t="s">
        <v>1253</v>
      </c>
      <c r="P112" s="13">
        <f t="shared" ca="1" si="13"/>
        <v>105606.00000000003</v>
      </c>
      <c r="Q11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646.50517699202214</v>
      </c>
      <c r="R112" s="8" t="str">
        <f t="shared" ca="1" si="12"/>
        <v>Vigente</v>
      </c>
      <c r="S112" t="str">
        <f ca="1">IF(Tabla1[[#This Row],[En Mora]]="No","",DATEDIF((EDATE(Tabla1[[#This Row],[FechaDesembolso]],Tabla1[[#This Row],[Mes de Mora]])),TODAY(),"d"))</f>
        <v/>
      </c>
    </row>
    <row r="113" spans="1:19" x14ac:dyDescent="0.25">
      <c r="A113" t="s">
        <v>955</v>
      </c>
      <c r="B113" t="s">
        <v>816</v>
      </c>
      <c r="C113" s="8" t="s">
        <v>31</v>
      </c>
      <c r="D113" s="8" t="str">
        <f>_xlfn.XLOOKUP(B113,Clientes!A:A,Clientes!G:G,"No encontrado",0)</f>
        <v>AG08</v>
      </c>
      <c r="E113" s="9">
        <v>44829</v>
      </c>
      <c r="F113" s="11">
        <v>8455</v>
      </c>
      <c r="G113" s="10">
        <v>0.47735439386216105</v>
      </c>
      <c r="H113" s="10">
        <f t="shared" si="8"/>
        <v>3.3055665978694249E-2</v>
      </c>
      <c r="I113">
        <v>12</v>
      </c>
      <c r="J113" s="12">
        <f t="shared" si="9"/>
        <v>864.97446551306803</v>
      </c>
      <c r="K113">
        <f t="shared" ca="1" si="10"/>
        <v>6</v>
      </c>
      <c r="L113">
        <f ca="1">MIN(DATEDIF(Tabla1[[#This Row],[FechaDesembolso]],TODAY(),"m"),Tabla1[[#This Row],[Plazos (Meses)]])</f>
        <v>12</v>
      </c>
      <c r="M113">
        <f t="shared" ca="1" si="11"/>
        <v>6</v>
      </c>
      <c r="N113" s="8" t="s">
        <v>1252</v>
      </c>
      <c r="O113" s="8">
        <v>6</v>
      </c>
      <c r="P113" s="13">
        <f t="shared" ca="1" si="13"/>
        <v>8455.0000000000109</v>
      </c>
      <c r="Q11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962.34679307840815</v>
      </c>
      <c r="R113" s="8" t="str">
        <f t="shared" si="12"/>
        <v>En mora</v>
      </c>
      <c r="S113">
        <f ca="1">IF(Tabla1[[#This Row],[En Mora]]="No","",DATEDIF((EDATE(Tabla1[[#This Row],[FechaDesembolso]],Tabla1[[#This Row],[Mes de Mora]])),TODAY(),"d"))</f>
        <v>1236</v>
      </c>
    </row>
    <row r="114" spans="1:19" x14ac:dyDescent="0.25">
      <c r="A114" t="s">
        <v>956</v>
      </c>
      <c r="B114" t="s">
        <v>389</v>
      </c>
      <c r="C114" s="8" t="s">
        <v>33</v>
      </c>
      <c r="D114" s="8" t="str">
        <f>_xlfn.XLOOKUP(B114,Clientes!A:A,Clientes!G:G,"No encontrado",0)</f>
        <v>AG05</v>
      </c>
      <c r="E114" s="9">
        <v>45935</v>
      </c>
      <c r="F114" s="11">
        <v>14166</v>
      </c>
      <c r="G114" s="10">
        <v>0.32488387211873326</v>
      </c>
      <c r="H114" s="10">
        <f t="shared" si="8"/>
        <v>2.3720698791141803E-2</v>
      </c>
      <c r="I114">
        <v>19</v>
      </c>
      <c r="J114" s="12">
        <f t="shared" si="9"/>
        <v>934.83296473462212</v>
      </c>
      <c r="K114">
        <f t="shared" ca="1" si="10"/>
        <v>10</v>
      </c>
      <c r="L114">
        <f ca="1">MIN(DATEDIF(Tabla1[[#This Row],[FechaDesembolso]],TODAY(),"m"),Tabla1[[#This Row],[Plazos (Meses)]])</f>
        <v>10</v>
      </c>
      <c r="M114">
        <f t="shared" ca="1" si="11"/>
        <v>9</v>
      </c>
      <c r="N114" s="8" t="s">
        <v>1251</v>
      </c>
      <c r="O114" s="8" t="s">
        <v>1253</v>
      </c>
      <c r="P114" s="13">
        <f t="shared" ca="1" si="13"/>
        <v>14165.999999999967</v>
      </c>
      <c r="Q11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1892.5401736620111</v>
      </c>
      <c r="R114" s="8" t="str">
        <f t="shared" ca="1" si="12"/>
        <v>Vigente</v>
      </c>
      <c r="S114" t="str">
        <f ca="1">IF(Tabla1[[#This Row],[En Mora]]="No","",DATEDIF((EDATE(Tabla1[[#This Row],[FechaDesembolso]],Tabla1[[#This Row],[Mes de Mora]])),TODAY(),"d"))</f>
        <v/>
      </c>
    </row>
    <row r="115" spans="1:19" x14ac:dyDescent="0.25">
      <c r="A115" t="s">
        <v>957</v>
      </c>
      <c r="B115" t="s">
        <v>108</v>
      </c>
      <c r="C115" s="8" t="s">
        <v>35</v>
      </c>
      <c r="D115" s="8" t="str">
        <f>_xlfn.XLOOKUP(B115,Clientes!A:A,Clientes!G:G,"No encontrado",0)</f>
        <v>AG07</v>
      </c>
      <c r="E115" s="9">
        <v>45514</v>
      </c>
      <c r="F115" s="11">
        <v>5481</v>
      </c>
      <c r="G115" s="10">
        <v>0.20087704947278634</v>
      </c>
      <c r="H115" s="10">
        <f t="shared" si="8"/>
        <v>1.5371288449693044E-2</v>
      </c>
      <c r="I115">
        <v>37</v>
      </c>
      <c r="J115" s="12">
        <f t="shared" si="9"/>
        <v>195.33752587213846</v>
      </c>
      <c r="K115">
        <f t="shared" ca="1" si="10"/>
        <v>24</v>
      </c>
      <c r="L115">
        <f ca="1">MIN(DATEDIF(Tabla1[[#This Row],[FechaDesembolso]],TODAY(),"m"),Tabla1[[#This Row],[Plazos (Meses)]])</f>
        <v>24</v>
      </c>
      <c r="M115">
        <f t="shared" ca="1" si="11"/>
        <v>13</v>
      </c>
      <c r="N115" s="8" t="s">
        <v>1251</v>
      </c>
      <c r="O115" s="8" t="s">
        <v>1253</v>
      </c>
      <c r="P115" s="13">
        <f t="shared" ca="1" si="13"/>
        <v>5481.0000000000045</v>
      </c>
      <c r="Q11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1132.8573776880796</v>
      </c>
      <c r="R115" s="8" t="str">
        <f t="shared" ca="1" si="12"/>
        <v>Vigente</v>
      </c>
      <c r="S115" t="str">
        <f ca="1">IF(Tabla1[[#This Row],[En Mora]]="No","",DATEDIF((EDATE(Tabla1[[#This Row],[FechaDesembolso]],Tabla1[[#This Row],[Mes de Mora]])),TODAY(),"d"))</f>
        <v/>
      </c>
    </row>
    <row r="116" spans="1:19" x14ac:dyDescent="0.25">
      <c r="A116" t="s">
        <v>958</v>
      </c>
      <c r="B116" t="s">
        <v>705</v>
      </c>
      <c r="C116" s="8" t="s">
        <v>35</v>
      </c>
      <c r="D116" s="8" t="str">
        <f>_xlfn.XLOOKUP(B116,Clientes!A:A,Clientes!G:G,"No encontrado",0)</f>
        <v>AG06</v>
      </c>
      <c r="E116" s="9">
        <v>45895</v>
      </c>
      <c r="F116" s="11">
        <v>66054</v>
      </c>
      <c r="G116" s="10">
        <v>0.20482123772411515</v>
      </c>
      <c r="H116" s="10">
        <f t="shared" si="8"/>
        <v>1.5648780043396426E-2</v>
      </c>
      <c r="I116">
        <v>13</v>
      </c>
      <c r="J116" s="12">
        <f t="shared" si="9"/>
        <v>5654.9386829958348</v>
      </c>
      <c r="K116">
        <f t="shared" ca="1" si="10"/>
        <v>11</v>
      </c>
      <c r="L116">
        <f ca="1">MIN(DATEDIF(Tabla1[[#This Row],[FechaDesembolso]],TODAY(),"m"),Tabla1[[#This Row],[Plazos (Meses)]])</f>
        <v>11</v>
      </c>
      <c r="M116">
        <f t="shared" ca="1" si="11"/>
        <v>2</v>
      </c>
      <c r="N116" s="8" t="s">
        <v>1251</v>
      </c>
      <c r="O116" s="8" t="s">
        <v>1253</v>
      </c>
      <c r="P116" s="13">
        <f t="shared" ca="1" si="13"/>
        <v>66053.999999999971</v>
      </c>
      <c r="Q11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6312.4793591080324</v>
      </c>
      <c r="R116" s="8" t="str">
        <f t="shared" ca="1" si="12"/>
        <v>Vigente</v>
      </c>
      <c r="S116" t="str">
        <f ca="1">IF(Tabla1[[#This Row],[En Mora]]="No","",DATEDIF((EDATE(Tabla1[[#This Row],[FechaDesembolso]],Tabla1[[#This Row],[Mes de Mora]])),TODAY(),"d"))</f>
        <v/>
      </c>
    </row>
    <row r="117" spans="1:19" x14ac:dyDescent="0.25">
      <c r="A117" t="s">
        <v>959</v>
      </c>
      <c r="B117" t="s">
        <v>429</v>
      </c>
      <c r="C117" s="8" t="s">
        <v>31</v>
      </c>
      <c r="D117" s="8" t="str">
        <f>_xlfn.XLOOKUP(B117,Clientes!A:A,Clientes!G:G,"No encontrado",0)</f>
        <v>AG06</v>
      </c>
      <c r="E117" s="9">
        <v>44727</v>
      </c>
      <c r="F117" s="11">
        <v>4088</v>
      </c>
      <c r="G117" s="10">
        <v>0.46025731906764367</v>
      </c>
      <c r="H117" s="10">
        <f t="shared" si="8"/>
        <v>3.2054066297906303E-2</v>
      </c>
      <c r="I117">
        <v>20</v>
      </c>
      <c r="J117" s="12">
        <f t="shared" si="9"/>
        <v>280.02250498206723</v>
      </c>
      <c r="K117">
        <f t="shared" ca="1" si="10"/>
        <v>20</v>
      </c>
      <c r="L117">
        <f ca="1">MIN(DATEDIF(Tabla1[[#This Row],[FechaDesembolso]],TODAY(),"m"),Tabla1[[#This Row],[Plazos (Meses)]])</f>
        <v>20</v>
      </c>
      <c r="M117">
        <f t="shared" ca="1" si="11"/>
        <v>0</v>
      </c>
      <c r="N117" s="8" t="s">
        <v>1251</v>
      </c>
      <c r="O117" s="8" t="s">
        <v>1253</v>
      </c>
      <c r="P117" s="13">
        <f t="shared" ca="1" si="13"/>
        <v>0</v>
      </c>
      <c r="Q11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17" s="8" t="str">
        <f t="shared" ca="1" si="12"/>
        <v>Cancelado</v>
      </c>
      <c r="S117" t="str">
        <f ca="1">IF(Tabla1[[#This Row],[En Mora]]="No","",DATEDIF((EDATE(Tabla1[[#This Row],[FechaDesembolso]],Tabla1[[#This Row],[Mes de Mora]])),TODAY(),"d"))</f>
        <v/>
      </c>
    </row>
    <row r="118" spans="1:19" x14ac:dyDescent="0.25">
      <c r="A118" t="s">
        <v>960</v>
      </c>
      <c r="B118" t="s">
        <v>663</v>
      </c>
      <c r="C118" s="8" t="s">
        <v>35</v>
      </c>
      <c r="D118" s="8" t="str">
        <f>_xlfn.XLOOKUP(B118,Clientes!A:A,Clientes!G:G,"No encontrado",0)</f>
        <v>AG08</v>
      </c>
      <c r="E118" s="9">
        <v>46151</v>
      </c>
      <c r="F118" s="11">
        <v>98718</v>
      </c>
      <c r="G118" s="10">
        <v>0.28574845623597345</v>
      </c>
      <c r="H118" s="10">
        <f t="shared" si="8"/>
        <v>2.1165971491919233E-2</v>
      </c>
      <c r="I118">
        <v>14</v>
      </c>
      <c r="J118" s="12">
        <f t="shared" si="9"/>
        <v>8221.3649975302033</v>
      </c>
      <c r="K118">
        <f t="shared" ca="1" si="10"/>
        <v>2</v>
      </c>
      <c r="L118">
        <f ca="1">MIN(DATEDIF(Tabla1[[#This Row],[FechaDesembolso]],TODAY(),"m"),Tabla1[[#This Row],[Plazos (Meses)]])</f>
        <v>3</v>
      </c>
      <c r="M118">
        <f t="shared" ca="1" si="11"/>
        <v>12</v>
      </c>
      <c r="N118" s="8" t="s">
        <v>1252</v>
      </c>
      <c r="O118" s="8">
        <v>2</v>
      </c>
      <c r="P118" s="13">
        <f t="shared" ca="1" si="13"/>
        <v>98717.999999999956</v>
      </c>
      <c r="Q11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2340.1585664889776</v>
      </c>
      <c r="R118" s="8" t="str">
        <f t="shared" si="12"/>
        <v>En mora</v>
      </c>
      <c r="S118">
        <f ca="1">IF(Tabla1[[#This Row],[En Mora]]="No","",DATEDIF((EDATE(Tabla1[[#This Row],[FechaDesembolso]],Tabla1[[#This Row],[Mes de Mora]])),TODAY(),"d"))</f>
        <v>34</v>
      </c>
    </row>
    <row r="119" spans="1:19" x14ac:dyDescent="0.25">
      <c r="A119" t="s">
        <v>961</v>
      </c>
      <c r="B119" t="s">
        <v>759</v>
      </c>
      <c r="C119" s="8" t="s">
        <v>39</v>
      </c>
      <c r="D119" s="8" t="str">
        <f>_xlfn.XLOOKUP(B119,Clientes!A:A,Clientes!G:G,"No encontrado",0)</f>
        <v>AG02</v>
      </c>
      <c r="E119" s="9">
        <v>46109</v>
      </c>
      <c r="F119" s="11">
        <v>4711</v>
      </c>
      <c r="G119" s="10">
        <v>0.24584524219786999</v>
      </c>
      <c r="H119" s="10">
        <f t="shared" si="8"/>
        <v>1.8486651689375355E-2</v>
      </c>
      <c r="I119">
        <v>24</v>
      </c>
      <c r="J119" s="12">
        <f t="shared" si="9"/>
        <v>244.82621848435386</v>
      </c>
      <c r="K119">
        <f t="shared" ca="1" si="10"/>
        <v>4</v>
      </c>
      <c r="L119">
        <f ca="1">MIN(DATEDIF(Tabla1[[#This Row],[FechaDesembolso]],TODAY(),"m"),Tabla1[[#This Row],[Plazos (Meses)]])</f>
        <v>4</v>
      </c>
      <c r="M119">
        <f t="shared" ca="1" si="11"/>
        <v>20</v>
      </c>
      <c r="N119" s="8" t="s">
        <v>1251</v>
      </c>
      <c r="O119" s="8" t="s">
        <v>1253</v>
      </c>
      <c r="P119" s="13">
        <f t="shared" ca="1" si="13"/>
        <v>4711.0000000000018</v>
      </c>
      <c r="Q11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194.13820727074881</v>
      </c>
      <c r="R119" s="8" t="str">
        <f t="shared" ca="1" si="12"/>
        <v>Vigente</v>
      </c>
      <c r="S119" t="str">
        <f ca="1">IF(Tabla1[[#This Row],[En Mora]]="No","",DATEDIF((EDATE(Tabla1[[#This Row],[FechaDesembolso]],Tabla1[[#This Row],[Mes de Mora]])),TODAY(),"d"))</f>
        <v/>
      </c>
    </row>
    <row r="120" spans="1:19" x14ac:dyDescent="0.25">
      <c r="A120" t="s">
        <v>962</v>
      </c>
      <c r="B120" t="s">
        <v>341</v>
      </c>
      <c r="C120" s="8" t="s">
        <v>35</v>
      </c>
      <c r="D120" s="8" t="str">
        <f>_xlfn.XLOOKUP(B120,Clientes!A:A,Clientes!G:G,"No encontrado",0)</f>
        <v>AG03</v>
      </c>
      <c r="E120" s="9">
        <v>46195</v>
      </c>
      <c r="F120" s="11">
        <v>94056</v>
      </c>
      <c r="G120" s="10">
        <v>0.29259245438207776</v>
      </c>
      <c r="H120" s="10">
        <f t="shared" si="8"/>
        <v>2.1617839628218505E-2</v>
      </c>
      <c r="I120">
        <v>42</v>
      </c>
      <c r="J120" s="12">
        <f t="shared" si="9"/>
        <v>3430.387710101103</v>
      </c>
      <c r="K120">
        <f t="shared" ca="1" si="10"/>
        <v>1</v>
      </c>
      <c r="L120">
        <f ca="1">MIN(DATEDIF(Tabla1[[#This Row],[FechaDesembolso]],TODAY(),"m"),Tabla1[[#This Row],[Plazos (Meses)]])</f>
        <v>1</v>
      </c>
      <c r="M120">
        <f t="shared" ca="1" si="11"/>
        <v>41</v>
      </c>
      <c r="N120" s="8" t="s">
        <v>1251</v>
      </c>
      <c r="O120" s="8" t="s">
        <v>1253</v>
      </c>
      <c r="P120" s="13">
        <f t="shared" ca="1" si="13"/>
        <v>94056.00000000016</v>
      </c>
      <c r="Q12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1190.9591386725313</v>
      </c>
      <c r="R120" s="8" t="str">
        <f t="shared" ca="1" si="12"/>
        <v>Vigente</v>
      </c>
      <c r="S120" t="str">
        <f ca="1">IF(Tabla1[[#This Row],[En Mora]]="No","",DATEDIF((EDATE(Tabla1[[#This Row],[FechaDesembolso]],Tabla1[[#This Row],[Mes de Mora]])),TODAY(),"d"))</f>
        <v/>
      </c>
    </row>
    <row r="121" spans="1:19" x14ac:dyDescent="0.25">
      <c r="A121" t="s">
        <v>963</v>
      </c>
      <c r="B121" t="s">
        <v>419</v>
      </c>
      <c r="C121" s="8" t="s">
        <v>37</v>
      </c>
      <c r="D121" s="8" t="str">
        <f>_xlfn.XLOOKUP(B121,Clientes!A:A,Clientes!G:G,"No encontrado",0)</f>
        <v>AG03</v>
      </c>
      <c r="E121" s="9">
        <v>45165</v>
      </c>
      <c r="F121" s="11">
        <v>281180</v>
      </c>
      <c r="G121" s="10">
        <v>0.10651966990077746</v>
      </c>
      <c r="H121" s="10">
        <f t="shared" si="8"/>
        <v>8.4706460252141902E-3</v>
      </c>
      <c r="I121">
        <v>106</v>
      </c>
      <c r="J121" s="12">
        <f t="shared" si="9"/>
        <v>4029.8918328630325</v>
      </c>
      <c r="K121">
        <f t="shared" ca="1" si="10"/>
        <v>35</v>
      </c>
      <c r="L121">
        <f ca="1">MIN(DATEDIF(Tabla1[[#This Row],[FechaDesembolso]],TODAY(),"m"),Tabla1[[#This Row],[Plazos (Meses)]])</f>
        <v>35</v>
      </c>
      <c r="M121">
        <f t="shared" ca="1" si="11"/>
        <v>71</v>
      </c>
      <c r="N121" s="8" t="s">
        <v>1251</v>
      </c>
      <c r="O121" s="8" t="s">
        <v>1253</v>
      </c>
      <c r="P121" s="13">
        <f t="shared" ca="1" si="13"/>
        <v>281180.00000000017</v>
      </c>
      <c r="Q12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48203.761320017446</v>
      </c>
      <c r="R121" s="8" t="str">
        <f t="shared" ca="1" si="12"/>
        <v>Vigente</v>
      </c>
      <c r="S121" t="str">
        <f ca="1">IF(Tabla1[[#This Row],[En Mora]]="No","",DATEDIF((EDATE(Tabla1[[#This Row],[FechaDesembolso]],Tabla1[[#This Row],[Mes de Mora]])),TODAY(),"d"))</f>
        <v/>
      </c>
    </row>
    <row r="122" spans="1:19" x14ac:dyDescent="0.25">
      <c r="A122" t="s">
        <v>964</v>
      </c>
      <c r="B122" t="s">
        <v>813</v>
      </c>
      <c r="C122" s="8" t="s">
        <v>35</v>
      </c>
      <c r="D122" s="8" t="str">
        <f>_xlfn.XLOOKUP(B122,Clientes!A:A,Clientes!G:G,"No encontrado",0)</f>
        <v>AG05</v>
      </c>
      <c r="E122" s="9">
        <v>46109</v>
      </c>
      <c r="F122" s="11">
        <v>50118</v>
      </c>
      <c r="G122" s="10">
        <v>0.23565301808029337</v>
      </c>
      <c r="H122" s="10">
        <f t="shared" si="8"/>
        <v>1.7789683618243179E-2</v>
      </c>
      <c r="I122">
        <v>23</v>
      </c>
      <c r="J122" s="12">
        <f t="shared" si="9"/>
        <v>2674.2111436750488</v>
      </c>
      <c r="K122">
        <f t="shared" ca="1" si="10"/>
        <v>4</v>
      </c>
      <c r="L122">
        <f ca="1">MIN(DATEDIF(Tabla1[[#This Row],[FechaDesembolso]],TODAY(),"m"),Tabla1[[#This Row],[Plazos (Meses)]])</f>
        <v>4</v>
      </c>
      <c r="M122">
        <f t="shared" ca="1" si="11"/>
        <v>19</v>
      </c>
      <c r="N122" s="8" t="s">
        <v>1251</v>
      </c>
      <c r="O122" s="8" t="s">
        <v>1253</v>
      </c>
      <c r="P122" s="13">
        <f t="shared" ca="1" si="13"/>
        <v>50118.000000000087</v>
      </c>
      <c r="Q12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1980.6706616567174</v>
      </c>
      <c r="R122" s="8" t="str">
        <f t="shared" ca="1" si="12"/>
        <v>Vigente</v>
      </c>
      <c r="S122" t="str">
        <f ca="1">IF(Tabla1[[#This Row],[En Mora]]="No","",DATEDIF((EDATE(Tabla1[[#This Row],[FechaDesembolso]],Tabla1[[#This Row],[Mes de Mora]])),TODAY(),"d"))</f>
        <v/>
      </c>
    </row>
    <row r="123" spans="1:19" x14ac:dyDescent="0.25">
      <c r="A123" t="s">
        <v>965</v>
      </c>
      <c r="B123" t="s">
        <v>561</v>
      </c>
      <c r="C123" s="8" t="s">
        <v>35</v>
      </c>
      <c r="D123" s="8" t="str">
        <f>_xlfn.XLOOKUP(B123,Clientes!A:A,Clientes!G:G,"No encontrado",0)</f>
        <v>AG05</v>
      </c>
      <c r="E123" s="9">
        <v>46206</v>
      </c>
      <c r="F123" s="11">
        <v>57061</v>
      </c>
      <c r="G123" s="10">
        <v>0.33168235692545123</v>
      </c>
      <c r="H123" s="10">
        <f t="shared" si="8"/>
        <v>2.4157431065496171E-2</v>
      </c>
      <c r="I123">
        <v>34</v>
      </c>
      <c r="J123" s="12">
        <f t="shared" si="9"/>
        <v>2479.8989516731858</v>
      </c>
      <c r="K123">
        <f t="shared" ca="1" si="10"/>
        <v>1</v>
      </c>
      <c r="L123">
        <f ca="1">MIN(DATEDIF(Tabla1[[#This Row],[FechaDesembolso]],TODAY(),"m"),Tabla1[[#This Row],[Plazos (Meses)]])</f>
        <v>1</v>
      </c>
      <c r="M123">
        <f t="shared" ca="1" si="11"/>
        <v>33</v>
      </c>
      <c r="N123" s="8" t="s">
        <v>1251</v>
      </c>
      <c r="O123" s="8" t="s">
        <v>1253</v>
      </c>
      <c r="P123" s="13">
        <f t="shared" ca="1" si="13"/>
        <v>57061.000000000065</v>
      </c>
      <c r="Q12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801.63424579083301</v>
      </c>
      <c r="R123" s="8" t="str">
        <f t="shared" ca="1" si="12"/>
        <v>Vigente</v>
      </c>
      <c r="S123" t="str">
        <f ca="1">IF(Tabla1[[#This Row],[En Mora]]="No","",DATEDIF((EDATE(Tabla1[[#This Row],[FechaDesembolso]],Tabla1[[#This Row],[Mes de Mora]])),TODAY(),"d"))</f>
        <v/>
      </c>
    </row>
    <row r="124" spans="1:19" x14ac:dyDescent="0.25">
      <c r="A124" t="s">
        <v>966</v>
      </c>
      <c r="B124" t="s">
        <v>314</v>
      </c>
      <c r="C124" s="8" t="s">
        <v>39</v>
      </c>
      <c r="D124" s="8" t="str">
        <f>_xlfn.XLOOKUP(B124,Clientes!A:A,Clientes!G:G,"No encontrado",0)</f>
        <v>AG03</v>
      </c>
      <c r="E124" s="9">
        <v>46138</v>
      </c>
      <c r="F124" s="11">
        <v>15558</v>
      </c>
      <c r="G124" s="10">
        <v>0.30204095408247511</v>
      </c>
      <c r="H124" s="10">
        <f t="shared" si="8"/>
        <v>2.223807679162082E-2</v>
      </c>
      <c r="I124">
        <v>22</v>
      </c>
      <c r="J124" s="12">
        <f t="shared" si="9"/>
        <v>901.90302124072582</v>
      </c>
      <c r="K124">
        <f t="shared" ca="1" si="10"/>
        <v>3</v>
      </c>
      <c r="L124">
        <f ca="1">MIN(DATEDIF(Tabla1[[#This Row],[FechaDesembolso]],TODAY(),"m"),Tabla1[[#This Row],[Plazos (Meses)]])</f>
        <v>3</v>
      </c>
      <c r="M124">
        <f t="shared" ca="1" si="11"/>
        <v>19</v>
      </c>
      <c r="N124" s="8" t="s">
        <v>1251</v>
      </c>
      <c r="O124" s="8" t="s">
        <v>1253</v>
      </c>
      <c r="P124" s="13">
        <f t="shared" ca="1" si="13"/>
        <v>15558.000000000027</v>
      </c>
      <c r="Q12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584.16360917672284</v>
      </c>
      <c r="R124" s="8" t="str">
        <f t="shared" ca="1" si="12"/>
        <v>Vigente</v>
      </c>
      <c r="S124" t="str">
        <f ca="1">IF(Tabla1[[#This Row],[En Mora]]="No","",DATEDIF((EDATE(Tabla1[[#This Row],[FechaDesembolso]],Tabla1[[#This Row],[Mes de Mora]])),TODAY(),"d"))</f>
        <v/>
      </c>
    </row>
    <row r="125" spans="1:19" x14ac:dyDescent="0.25">
      <c r="A125" t="s">
        <v>967</v>
      </c>
      <c r="B125" t="s">
        <v>204</v>
      </c>
      <c r="C125" s="8" t="s">
        <v>35</v>
      </c>
      <c r="D125" s="8" t="str">
        <f>_xlfn.XLOOKUP(B125,Clientes!A:A,Clientes!G:G,"No encontrado",0)</f>
        <v>AG02</v>
      </c>
      <c r="E125" s="9">
        <v>45514</v>
      </c>
      <c r="F125" s="11">
        <v>41069</v>
      </c>
      <c r="G125" s="10">
        <v>0.29348545709718127</v>
      </c>
      <c r="H125" s="10">
        <f t="shared" si="8"/>
        <v>2.1676637405206867E-2</v>
      </c>
      <c r="I125">
        <v>54</v>
      </c>
      <c r="J125" s="12">
        <f t="shared" si="9"/>
        <v>1297.9189348184104</v>
      </c>
      <c r="K125">
        <f t="shared" ca="1" si="10"/>
        <v>24</v>
      </c>
      <c r="L125">
        <f ca="1">MIN(DATEDIF(Tabla1[[#This Row],[FechaDesembolso]],TODAY(),"m"),Tabla1[[#This Row],[Plazos (Meses)]])</f>
        <v>24</v>
      </c>
      <c r="M125">
        <f t="shared" ca="1" si="11"/>
        <v>30</v>
      </c>
      <c r="N125" s="8" t="s">
        <v>1251</v>
      </c>
      <c r="O125" s="8" t="s">
        <v>1253</v>
      </c>
      <c r="P125" s="13">
        <f t="shared" ca="1" si="13"/>
        <v>41069.000000000036</v>
      </c>
      <c r="Q12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12897.165546752958</v>
      </c>
      <c r="R125" s="8" t="str">
        <f t="shared" ca="1" si="12"/>
        <v>Vigente</v>
      </c>
      <c r="S125" t="str">
        <f ca="1">IF(Tabla1[[#This Row],[En Mora]]="No","",DATEDIF((EDATE(Tabla1[[#This Row],[FechaDesembolso]],Tabla1[[#This Row],[Mes de Mora]])),TODAY(),"d"))</f>
        <v/>
      </c>
    </row>
    <row r="126" spans="1:19" x14ac:dyDescent="0.25">
      <c r="A126" t="s">
        <v>968</v>
      </c>
      <c r="B126" t="s">
        <v>573</v>
      </c>
      <c r="C126" s="8" t="s">
        <v>35</v>
      </c>
      <c r="D126" s="8" t="str">
        <f>_xlfn.XLOOKUP(B126,Clientes!A:A,Clientes!G:G,"No encontrado",0)</f>
        <v>AG04</v>
      </c>
      <c r="E126" s="9">
        <v>46015</v>
      </c>
      <c r="F126" s="11">
        <v>65739</v>
      </c>
      <c r="G126" s="10">
        <v>0.25360009137567269</v>
      </c>
      <c r="H126" s="10">
        <f t="shared" si="8"/>
        <v>1.9013453781349998E-2</v>
      </c>
      <c r="I126">
        <v>32</v>
      </c>
      <c r="J126" s="12">
        <f t="shared" si="9"/>
        <v>2761.1778517308412</v>
      </c>
      <c r="K126">
        <f t="shared" ca="1" si="10"/>
        <v>7</v>
      </c>
      <c r="L126">
        <f ca="1">MIN(DATEDIF(Tabla1[[#This Row],[FechaDesembolso]],TODAY(),"m"),Tabla1[[#This Row],[Plazos (Meses)]])</f>
        <v>7</v>
      </c>
      <c r="M126">
        <f t="shared" ca="1" si="11"/>
        <v>25</v>
      </c>
      <c r="N126" s="8" t="s">
        <v>1251</v>
      </c>
      <c r="O126" s="8" t="s">
        <v>1253</v>
      </c>
      <c r="P126" s="13">
        <f t="shared" ca="1" si="13"/>
        <v>65739.000000000087</v>
      </c>
      <c r="Q12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4947.8387121158885</v>
      </c>
      <c r="R126" s="8" t="str">
        <f t="shared" ca="1" si="12"/>
        <v>Vigente</v>
      </c>
      <c r="S126" t="str">
        <f ca="1">IF(Tabla1[[#This Row],[En Mora]]="No","",DATEDIF((EDATE(Tabla1[[#This Row],[FechaDesembolso]],Tabla1[[#This Row],[Mes de Mora]])),TODAY(),"d"))</f>
        <v/>
      </c>
    </row>
    <row r="127" spans="1:19" x14ac:dyDescent="0.25">
      <c r="A127" t="s">
        <v>969</v>
      </c>
      <c r="B127" t="s">
        <v>777</v>
      </c>
      <c r="C127" s="8" t="s">
        <v>35</v>
      </c>
      <c r="D127" s="8" t="str">
        <f>_xlfn.XLOOKUP(B127,Clientes!A:A,Clientes!G:G,"No encontrado",0)</f>
        <v>AG08</v>
      </c>
      <c r="E127" s="9">
        <v>45570</v>
      </c>
      <c r="F127" s="11">
        <v>89716</v>
      </c>
      <c r="G127" s="10">
        <v>0.27645102022549134</v>
      </c>
      <c r="H127" s="10">
        <f t="shared" si="8"/>
        <v>2.0548572481210892E-2</v>
      </c>
      <c r="I127">
        <v>36</v>
      </c>
      <c r="J127" s="12">
        <f t="shared" si="9"/>
        <v>3550.8983988712353</v>
      </c>
      <c r="K127">
        <f t="shared" ca="1" si="10"/>
        <v>22</v>
      </c>
      <c r="L127">
        <f ca="1">MIN(DATEDIF(Tabla1[[#This Row],[FechaDesembolso]],TODAY(),"m"),Tabla1[[#This Row],[Plazos (Meses)]])</f>
        <v>22</v>
      </c>
      <c r="M127">
        <f t="shared" ca="1" si="11"/>
        <v>14</v>
      </c>
      <c r="N127" s="8" t="s">
        <v>1251</v>
      </c>
      <c r="O127" s="8" t="s">
        <v>1253</v>
      </c>
      <c r="P127" s="13">
        <f t="shared" ca="1" si="13"/>
        <v>89715.999999999985</v>
      </c>
      <c r="Q12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23293.320330722734</v>
      </c>
      <c r="R127" s="8" t="str">
        <f t="shared" ca="1" si="12"/>
        <v>Vigente</v>
      </c>
      <c r="S127" t="str">
        <f ca="1">IF(Tabla1[[#This Row],[En Mora]]="No","",DATEDIF((EDATE(Tabla1[[#This Row],[FechaDesembolso]],Tabla1[[#This Row],[Mes de Mora]])),TODAY(),"d"))</f>
        <v/>
      </c>
    </row>
    <row r="128" spans="1:19" x14ac:dyDescent="0.25">
      <c r="A128" t="s">
        <v>970</v>
      </c>
      <c r="B128" t="s">
        <v>793</v>
      </c>
      <c r="C128" s="8" t="s">
        <v>35</v>
      </c>
      <c r="D128" s="8" t="str">
        <f>_xlfn.XLOOKUP(B128,Clientes!A:A,Clientes!G:G,"No encontrado",0)</f>
        <v>AG03</v>
      </c>
      <c r="E128" s="9">
        <v>46015</v>
      </c>
      <c r="F128" s="11">
        <v>57954</v>
      </c>
      <c r="G128" s="10">
        <v>0.24082416091038528</v>
      </c>
      <c r="H128" s="10">
        <f t="shared" si="8"/>
        <v>1.8143954290806841E-2</v>
      </c>
      <c r="I128">
        <v>34</v>
      </c>
      <c r="J128" s="12">
        <f t="shared" si="9"/>
        <v>2298.9446952360508</v>
      </c>
      <c r="K128">
        <f t="shared" ca="1" si="10"/>
        <v>7</v>
      </c>
      <c r="L128">
        <f ca="1">MIN(DATEDIF(Tabla1[[#This Row],[FechaDesembolso]],TODAY(),"m"),Tabla1[[#This Row],[Plazos (Meses)]])</f>
        <v>7</v>
      </c>
      <c r="M128">
        <f t="shared" ca="1" si="11"/>
        <v>27</v>
      </c>
      <c r="N128" s="8" t="s">
        <v>1251</v>
      </c>
      <c r="O128" s="8" t="s">
        <v>1253</v>
      </c>
      <c r="P128" s="13">
        <f t="shared" ca="1" si="13"/>
        <v>57954.000000000036</v>
      </c>
      <c r="Q12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4160.9069842994149</v>
      </c>
      <c r="R128" s="8" t="str">
        <f t="shared" ca="1" si="12"/>
        <v>Vigente</v>
      </c>
      <c r="S128" t="str">
        <f ca="1">IF(Tabla1[[#This Row],[En Mora]]="No","",DATEDIF((EDATE(Tabla1[[#This Row],[FechaDesembolso]],Tabla1[[#This Row],[Mes de Mora]])),TODAY(),"d"))</f>
        <v/>
      </c>
    </row>
    <row r="129" spans="1:19" x14ac:dyDescent="0.25">
      <c r="A129" t="s">
        <v>971</v>
      </c>
      <c r="B129" t="s">
        <v>350</v>
      </c>
      <c r="C129" s="8" t="s">
        <v>39</v>
      </c>
      <c r="D129" s="8" t="str">
        <f>_xlfn.XLOOKUP(B129,Clientes!A:A,Clientes!G:G,"No encontrado",0)</f>
        <v>AG03</v>
      </c>
      <c r="E129" s="9">
        <v>45208</v>
      </c>
      <c r="F129" s="11">
        <v>16085</v>
      </c>
      <c r="G129" s="10">
        <v>0.24264163499918603</v>
      </c>
      <c r="H129" s="10">
        <f t="shared" si="8"/>
        <v>1.8268146555022735E-2</v>
      </c>
      <c r="I129">
        <v>9</v>
      </c>
      <c r="J129" s="12">
        <f t="shared" si="9"/>
        <v>1954.4070363408259</v>
      </c>
      <c r="K129">
        <f t="shared" ca="1" si="10"/>
        <v>9</v>
      </c>
      <c r="L129">
        <f ca="1">MIN(DATEDIF(Tabla1[[#This Row],[FechaDesembolso]],TODAY(),"m"),Tabla1[[#This Row],[Plazos (Meses)]])</f>
        <v>9</v>
      </c>
      <c r="M129">
        <f t="shared" ca="1" si="11"/>
        <v>0</v>
      </c>
      <c r="N129" s="8" t="s">
        <v>1251</v>
      </c>
      <c r="O129" s="8" t="s">
        <v>1253</v>
      </c>
      <c r="P129" s="13">
        <f t="shared" ca="1" si="13"/>
        <v>0</v>
      </c>
      <c r="Q12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29" s="8" t="str">
        <f t="shared" ca="1" si="12"/>
        <v>Cancelado</v>
      </c>
      <c r="S129" t="str">
        <f ca="1">IF(Tabla1[[#This Row],[En Mora]]="No","",DATEDIF((EDATE(Tabla1[[#This Row],[FechaDesembolso]],Tabla1[[#This Row],[Mes de Mora]])),TODAY(),"d"))</f>
        <v/>
      </c>
    </row>
    <row r="130" spans="1:19" x14ac:dyDescent="0.25">
      <c r="A130" t="s">
        <v>972</v>
      </c>
      <c r="B130" t="s">
        <v>251</v>
      </c>
      <c r="C130" s="8" t="s">
        <v>33</v>
      </c>
      <c r="D130" s="8" t="str">
        <f>_xlfn.XLOOKUP(B130,Clientes!A:A,Clientes!G:G,"No encontrado",0)</f>
        <v>AG08</v>
      </c>
      <c r="E130" s="9">
        <v>46132</v>
      </c>
      <c r="F130" s="11">
        <v>12498</v>
      </c>
      <c r="G130" s="10">
        <v>0.42816359294052397</v>
      </c>
      <c r="H130" s="10">
        <f t="shared" si="8"/>
        <v>3.014453556343355E-2</v>
      </c>
      <c r="I130">
        <v>40</v>
      </c>
      <c r="J130" s="12">
        <f t="shared" si="9"/>
        <v>541.95722446405387</v>
      </c>
      <c r="K130">
        <f t="shared" ca="1" si="10"/>
        <v>3</v>
      </c>
      <c r="L130">
        <f ca="1">MIN(DATEDIF(Tabla1[[#This Row],[FechaDesembolso]],TODAY(),"m"),Tabla1[[#This Row],[Plazos (Meses)]])</f>
        <v>3</v>
      </c>
      <c r="M130">
        <f t="shared" ca="1" si="11"/>
        <v>37</v>
      </c>
      <c r="N130" s="8" t="s">
        <v>1251</v>
      </c>
      <c r="O130" s="8" t="s">
        <v>1253</v>
      </c>
      <c r="P130" s="13">
        <f t="shared" ca="1" si="13"/>
        <v>12498.000000000005</v>
      </c>
      <c r="Q13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688.52167339216169</v>
      </c>
      <c r="R130" s="8" t="str">
        <f t="shared" ca="1" si="12"/>
        <v>Vigente</v>
      </c>
      <c r="S130" t="str">
        <f ca="1">IF(Tabla1[[#This Row],[En Mora]]="No","",DATEDIF((EDATE(Tabla1[[#This Row],[FechaDesembolso]],Tabla1[[#This Row],[Mes de Mora]])),TODAY(),"d"))</f>
        <v/>
      </c>
    </row>
    <row r="131" spans="1:19" x14ac:dyDescent="0.25">
      <c r="A131" t="s">
        <v>973</v>
      </c>
      <c r="B131" t="s">
        <v>480</v>
      </c>
      <c r="C131" s="8" t="s">
        <v>37</v>
      </c>
      <c r="D131" s="8" t="str">
        <f>_xlfn.XLOOKUP(B131,Clientes!A:A,Clientes!G:G,"No encontrado",0)</f>
        <v>AG06</v>
      </c>
      <c r="E131" s="9">
        <v>45992</v>
      </c>
      <c r="F131" s="11">
        <v>229870</v>
      </c>
      <c r="G131" s="10">
        <v>0.11761241981156834</v>
      </c>
      <c r="H131" s="10">
        <f t="shared" ref="H131:H194" si="14">(1+G131)^(1/12)-1</f>
        <v>9.3092844821820453E-3</v>
      </c>
      <c r="I131">
        <v>196</v>
      </c>
      <c r="J131" s="12">
        <f t="shared" ref="J131:J194" si="15">PMT(H131,I131,-F131,,)</f>
        <v>2555.5801401402691</v>
      </c>
      <c r="K131">
        <f t="shared" ref="K131:K194" ca="1" si="16">IF(N131="SI",O131,MIN(DATEDIF(E131,TODAY(),"m"),I131))</f>
        <v>8</v>
      </c>
      <c r="L131">
        <f ca="1">MIN(DATEDIF(Tabla1[[#This Row],[FechaDesembolso]],TODAY(),"m"),Tabla1[[#This Row],[Plazos (Meses)]])</f>
        <v>8</v>
      </c>
      <c r="M131">
        <f t="shared" ref="M131:M194" ca="1" si="17">I131-K131</f>
        <v>188</v>
      </c>
      <c r="N131" s="8" t="s">
        <v>1251</v>
      </c>
      <c r="O131" s="8" t="s">
        <v>1253</v>
      </c>
      <c r="P131" s="13">
        <f t="shared" ca="1" si="13"/>
        <v>229869.99999999997</v>
      </c>
      <c r="Q13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11062.192141530315</v>
      </c>
      <c r="R131" s="8" t="str">
        <f t="shared" ref="R131:R194" ca="1" si="18">IF(N131="SI","En mora",IF(K131&gt;=I131,"Cancelado","Vigente"))</f>
        <v>Vigente</v>
      </c>
      <c r="S131" t="str">
        <f ca="1">IF(Tabla1[[#This Row],[En Mora]]="No","",DATEDIF((EDATE(Tabla1[[#This Row],[FechaDesembolso]],Tabla1[[#This Row],[Mes de Mora]])),TODAY(),"d"))</f>
        <v/>
      </c>
    </row>
    <row r="132" spans="1:19" x14ac:dyDescent="0.25">
      <c r="A132" t="s">
        <v>974</v>
      </c>
      <c r="B132" t="s">
        <v>222</v>
      </c>
      <c r="C132" s="8" t="s">
        <v>35</v>
      </c>
      <c r="D132" s="8" t="str">
        <f>_xlfn.XLOOKUP(B132,Clientes!A:A,Clientes!G:G,"No encontrado",0)</f>
        <v>AG02</v>
      </c>
      <c r="E132" s="9">
        <v>46202</v>
      </c>
      <c r="F132" s="11">
        <v>46810</v>
      </c>
      <c r="G132" s="10">
        <v>0.32661451782071926</v>
      </c>
      <c r="H132" s="10">
        <f t="shared" si="14"/>
        <v>2.383206943195515E-2</v>
      </c>
      <c r="I132">
        <v>14</v>
      </c>
      <c r="J132" s="12">
        <f t="shared" si="15"/>
        <v>3971.6451427506304</v>
      </c>
      <c r="K132">
        <f t="shared" ca="1" si="16"/>
        <v>1</v>
      </c>
      <c r="L132">
        <f ca="1">MIN(DATEDIF(Tabla1[[#This Row],[FechaDesembolso]],TODAY(),"m"),Tabla1[[#This Row],[Plazos (Meses)]])</f>
        <v>1</v>
      </c>
      <c r="M132">
        <f t="shared" ca="1" si="17"/>
        <v>13</v>
      </c>
      <c r="N132" s="8" t="s">
        <v>1252</v>
      </c>
      <c r="O132" s="8">
        <v>1</v>
      </c>
      <c r="P132" s="13">
        <f t="shared" ca="1" si="13"/>
        <v>46810.000000000036</v>
      </c>
      <c r="Q13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628.07371417920194</v>
      </c>
      <c r="R132" s="8" t="str">
        <f t="shared" si="18"/>
        <v>En mora</v>
      </c>
      <c r="S132">
        <f ca="1">IF(Tabla1[[#This Row],[En Mora]]="No","",DATEDIF((EDATE(Tabla1[[#This Row],[FechaDesembolso]],Tabla1[[#This Row],[Mes de Mora]])),TODAY(),"d"))</f>
        <v>14</v>
      </c>
    </row>
    <row r="133" spans="1:19" x14ac:dyDescent="0.25">
      <c r="A133" t="s">
        <v>975</v>
      </c>
      <c r="B133" t="s">
        <v>301</v>
      </c>
      <c r="C133" s="8" t="s">
        <v>31</v>
      </c>
      <c r="D133" s="8" t="str">
        <f>_xlfn.XLOOKUP(B133,Clientes!A:A,Clientes!G:G,"No encontrado",0)</f>
        <v>AG02</v>
      </c>
      <c r="E133" s="9">
        <v>45193</v>
      </c>
      <c r="F133" s="11">
        <v>4140</v>
      </c>
      <c r="G133" s="10">
        <v>0.36740968332187035</v>
      </c>
      <c r="H133" s="10">
        <f t="shared" si="14"/>
        <v>2.6419484353123357E-2</v>
      </c>
      <c r="I133">
        <v>23</v>
      </c>
      <c r="J133" s="12">
        <f t="shared" si="15"/>
        <v>242.48990176981539</v>
      </c>
      <c r="K133">
        <f t="shared" ca="1" si="16"/>
        <v>23</v>
      </c>
      <c r="L133">
        <f ca="1">MIN(DATEDIF(Tabla1[[#This Row],[FechaDesembolso]],TODAY(),"m"),Tabla1[[#This Row],[Plazos (Meses)]])</f>
        <v>23</v>
      </c>
      <c r="M133">
        <f t="shared" ca="1" si="17"/>
        <v>0</v>
      </c>
      <c r="N133" s="8" t="s">
        <v>1251</v>
      </c>
      <c r="O133" s="8" t="s">
        <v>1253</v>
      </c>
      <c r="P133" s="13">
        <f t="shared" ref="P133:P196" ca="1" si="19">IF(M133=0,0,PV(H133,I133,-J133))</f>
        <v>0</v>
      </c>
      <c r="Q13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33" s="8" t="str">
        <f t="shared" ca="1" si="18"/>
        <v>Cancelado</v>
      </c>
      <c r="S133" t="str">
        <f ca="1">IF(Tabla1[[#This Row],[En Mora]]="No","",DATEDIF((EDATE(Tabla1[[#This Row],[FechaDesembolso]],Tabla1[[#This Row],[Mes de Mora]])),TODAY(),"d"))</f>
        <v/>
      </c>
    </row>
    <row r="134" spans="1:19" x14ac:dyDescent="0.25">
      <c r="A134" t="s">
        <v>976</v>
      </c>
      <c r="B134" t="s">
        <v>606</v>
      </c>
      <c r="C134" s="8" t="s">
        <v>37</v>
      </c>
      <c r="D134" s="8" t="str">
        <f>_xlfn.XLOOKUP(B134,Clientes!A:A,Clientes!G:G,"No encontrado",0)</f>
        <v>AG07</v>
      </c>
      <c r="E134" s="9">
        <v>45410</v>
      </c>
      <c r="F134" s="11">
        <v>74152</v>
      </c>
      <c r="G134" s="10">
        <v>0.11950998252835771</v>
      </c>
      <c r="H134" s="10">
        <f t="shared" si="14"/>
        <v>9.4519799607506449E-3</v>
      </c>
      <c r="I134">
        <v>93</v>
      </c>
      <c r="J134" s="12">
        <f t="shared" si="15"/>
        <v>1201.9975250988778</v>
      </c>
      <c r="K134">
        <f t="shared" ca="1" si="16"/>
        <v>27</v>
      </c>
      <c r="L134">
        <f ca="1">MIN(DATEDIF(Tabla1[[#This Row],[FechaDesembolso]],TODAY(),"m"),Tabla1[[#This Row],[Plazos (Meses)]])</f>
        <v>27</v>
      </c>
      <c r="M134">
        <f t="shared" ca="1" si="17"/>
        <v>66</v>
      </c>
      <c r="N134" s="8" t="s">
        <v>1251</v>
      </c>
      <c r="O134" s="8" t="s">
        <v>1253</v>
      </c>
      <c r="P134" s="13">
        <f t="shared" ca="1" si="19"/>
        <v>74152.000000000131</v>
      </c>
      <c r="Q13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10925.9331776697</v>
      </c>
      <c r="R134" s="8" t="str">
        <f t="shared" ca="1" si="18"/>
        <v>Vigente</v>
      </c>
      <c r="S134" t="str">
        <f ca="1">IF(Tabla1[[#This Row],[En Mora]]="No","",DATEDIF((EDATE(Tabla1[[#This Row],[FechaDesembolso]],Tabla1[[#This Row],[Mes de Mora]])),TODAY(),"d"))</f>
        <v/>
      </c>
    </row>
    <row r="135" spans="1:19" x14ac:dyDescent="0.25">
      <c r="A135" t="s">
        <v>977</v>
      </c>
      <c r="B135" t="s">
        <v>419</v>
      </c>
      <c r="C135" s="8" t="s">
        <v>37</v>
      </c>
      <c r="D135" s="8" t="str">
        <f>_xlfn.XLOOKUP(B135,Clientes!A:A,Clientes!G:G,"No encontrado",0)</f>
        <v>AG03</v>
      </c>
      <c r="E135" s="9">
        <v>45308</v>
      </c>
      <c r="F135" s="11">
        <v>89800</v>
      </c>
      <c r="G135" s="10">
        <v>9.724261309847762E-2</v>
      </c>
      <c r="H135" s="10">
        <f t="shared" si="14"/>
        <v>7.763339438749739E-3</v>
      </c>
      <c r="I135">
        <v>111</v>
      </c>
      <c r="J135" s="12">
        <f t="shared" si="15"/>
        <v>1209.9867974570748</v>
      </c>
      <c r="K135">
        <f t="shared" ca="1" si="16"/>
        <v>30</v>
      </c>
      <c r="L135">
        <f ca="1">MIN(DATEDIF(Tabla1[[#This Row],[FechaDesembolso]],TODAY(),"m"),Tabla1[[#This Row],[Plazos (Meses)]])</f>
        <v>30</v>
      </c>
      <c r="M135">
        <f t="shared" ca="1" si="17"/>
        <v>81</v>
      </c>
      <c r="N135" s="8" t="s">
        <v>1251</v>
      </c>
      <c r="O135" s="8" t="s">
        <v>1253</v>
      </c>
      <c r="P135" s="13">
        <f t="shared" ca="1" si="19"/>
        <v>89800.000000000146</v>
      </c>
      <c r="Q13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12029.333653441974</v>
      </c>
      <c r="R135" s="8" t="str">
        <f t="shared" ca="1" si="18"/>
        <v>Vigente</v>
      </c>
      <c r="S135" t="str">
        <f ca="1">IF(Tabla1[[#This Row],[En Mora]]="No","",DATEDIF((EDATE(Tabla1[[#This Row],[FechaDesembolso]],Tabla1[[#This Row],[Mes de Mora]])),TODAY(),"d"))</f>
        <v/>
      </c>
    </row>
    <row r="136" spans="1:19" x14ac:dyDescent="0.25">
      <c r="A136" t="s">
        <v>978</v>
      </c>
      <c r="B136" t="s">
        <v>672</v>
      </c>
      <c r="C136" s="8" t="s">
        <v>31</v>
      </c>
      <c r="D136" s="8" t="str">
        <f>_xlfn.XLOOKUP(B136,Clientes!A:A,Clientes!G:G,"No encontrado",0)</f>
        <v>AG06</v>
      </c>
      <c r="E136" s="9">
        <v>46227</v>
      </c>
      <c r="F136" s="11">
        <v>11852</v>
      </c>
      <c r="G136" s="10">
        <v>0.50140002300713493</v>
      </c>
      <c r="H136" s="10">
        <f t="shared" si="14"/>
        <v>3.4446500753729126E-2</v>
      </c>
      <c r="I136">
        <v>16</v>
      </c>
      <c r="J136" s="12">
        <f t="shared" si="15"/>
        <v>975.91160127186458</v>
      </c>
      <c r="K136">
        <f t="shared" ca="1" si="16"/>
        <v>0</v>
      </c>
      <c r="L136">
        <f ca="1">MIN(DATEDIF(Tabla1[[#This Row],[FechaDesembolso]],TODAY(),"m"),Tabla1[[#This Row],[Plazos (Meses)]])</f>
        <v>0</v>
      </c>
      <c r="M136">
        <f t="shared" ca="1" si="17"/>
        <v>16</v>
      </c>
      <c r="N136" s="8" t="s">
        <v>1251</v>
      </c>
      <c r="O136" s="8" t="s">
        <v>1253</v>
      </c>
      <c r="P136" s="13">
        <f t="shared" ca="1" si="19"/>
        <v>11851.999999999989</v>
      </c>
      <c r="Q13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36" s="8" t="str">
        <f t="shared" ca="1" si="18"/>
        <v>Vigente</v>
      </c>
      <c r="S136" t="str">
        <f ca="1">IF(Tabla1[[#This Row],[En Mora]]="No","",DATEDIF((EDATE(Tabla1[[#This Row],[FechaDesembolso]],Tabla1[[#This Row],[Mes de Mora]])),TODAY(),"d"))</f>
        <v/>
      </c>
    </row>
    <row r="137" spans="1:19" x14ac:dyDescent="0.25">
      <c r="A137" t="s">
        <v>979</v>
      </c>
      <c r="B137" t="s">
        <v>245</v>
      </c>
      <c r="C137" s="8" t="s">
        <v>33</v>
      </c>
      <c r="D137" s="8" t="str">
        <f>_xlfn.XLOOKUP(B137,Clientes!A:A,Clientes!G:G,"No encontrado",0)</f>
        <v>AG01</v>
      </c>
      <c r="E137" s="9">
        <v>45750</v>
      </c>
      <c r="F137" s="11">
        <v>18622</v>
      </c>
      <c r="G137" s="10">
        <v>0.35714168348662717</v>
      </c>
      <c r="H137" s="10">
        <f t="shared" si="14"/>
        <v>2.5774973612659124E-2</v>
      </c>
      <c r="I137">
        <v>29</v>
      </c>
      <c r="J137" s="12">
        <f t="shared" si="15"/>
        <v>919.62363305465919</v>
      </c>
      <c r="K137">
        <f t="shared" ca="1" si="16"/>
        <v>16</v>
      </c>
      <c r="L137">
        <f ca="1">MIN(DATEDIF(Tabla1[[#This Row],[FechaDesembolso]],TODAY(),"m"),Tabla1[[#This Row],[Plazos (Meses)]])</f>
        <v>16</v>
      </c>
      <c r="M137">
        <f t="shared" ca="1" si="17"/>
        <v>13</v>
      </c>
      <c r="N137" s="8" t="s">
        <v>1251</v>
      </c>
      <c r="O137" s="8" t="s">
        <v>1253</v>
      </c>
      <c r="P137" s="13">
        <f t="shared" ca="1" si="19"/>
        <v>18622.000000000018</v>
      </c>
      <c r="Q13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4439.7712323228234</v>
      </c>
      <c r="R137" s="8" t="str">
        <f t="shared" ca="1" si="18"/>
        <v>Vigente</v>
      </c>
      <c r="S137" t="str">
        <f ca="1">IF(Tabla1[[#This Row],[En Mora]]="No","",DATEDIF((EDATE(Tabla1[[#This Row],[FechaDesembolso]],Tabla1[[#This Row],[Mes de Mora]])),TODAY(),"d"))</f>
        <v/>
      </c>
    </row>
    <row r="138" spans="1:19" x14ac:dyDescent="0.25">
      <c r="A138" t="s">
        <v>980</v>
      </c>
      <c r="B138" t="s">
        <v>790</v>
      </c>
      <c r="C138" s="8" t="s">
        <v>37</v>
      </c>
      <c r="D138" s="8" t="str">
        <f>_xlfn.XLOOKUP(B138,Clientes!A:A,Clientes!G:G,"No encontrado",0)</f>
        <v>AG05</v>
      </c>
      <c r="E138" s="9">
        <v>45981</v>
      </c>
      <c r="F138" s="11">
        <v>65880</v>
      </c>
      <c r="G138" s="10">
        <v>0.13668804489808495</v>
      </c>
      <c r="H138" s="10">
        <f t="shared" si="14"/>
        <v>1.0733765448193378E-2</v>
      </c>
      <c r="I138">
        <v>154</v>
      </c>
      <c r="J138" s="12">
        <f t="shared" si="15"/>
        <v>876.44153659712845</v>
      </c>
      <c r="K138">
        <f t="shared" ca="1" si="16"/>
        <v>8</v>
      </c>
      <c r="L138">
        <f ca="1">MIN(DATEDIF(Tabla1[[#This Row],[FechaDesembolso]],TODAY(),"m"),Tabla1[[#This Row],[Plazos (Meses)]])</f>
        <v>8</v>
      </c>
      <c r="M138">
        <f t="shared" ca="1" si="17"/>
        <v>146</v>
      </c>
      <c r="N138" s="8" t="s">
        <v>1251</v>
      </c>
      <c r="O138" s="8" t="s">
        <v>1253</v>
      </c>
      <c r="P138" s="13">
        <f t="shared" ca="1" si="19"/>
        <v>65879.999999999884</v>
      </c>
      <c r="Q13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3589.1946304393646</v>
      </c>
      <c r="R138" s="8" t="str">
        <f t="shared" ca="1" si="18"/>
        <v>Vigente</v>
      </c>
      <c r="S138" t="str">
        <f ca="1">IF(Tabla1[[#This Row],[En Mora]]="No","",DATEDIF((EDATE(Tabla1[[#This Row],[FechaDesembolso]],Tabla1[[#This Row],[Mes de Mora]])),TODAY(),"d"))</f>
        <v/>
      </c>
    </row>
    <row r="139" spans="1:19" x14ac:dyDescent="0.25">
      <c r="A139" t="s">
        <v>981</v>
      </c>
      <c r="B139" t="s">
        <v>180</v>
      </c>
      <c r="C139" s="8" t="s">
        <v>35</v>
      </c>
      <c r="D139" s="8" t="str">
        <f>_xlfn.XLOOKUP(B139,Clientes!A:A,Clientes!G:G,"No encontrado",0)</f>
        <v>AG06</v>
      </c>
      <c r="E139" s="9">
        <v>45068</v>
      </c>
      <c r="F139" s="11">
        <v>58517</v>
      </c>
      <c r="G139" s="10">
        <v>0.34600915597874154</v>
      </c>
      <c r="H139" s="10">
        <f t="shared" si="14"/>
        <v>2.5071127429284745E-2</v>
      </c>
      <c r="I139">
        <v>53</v>
      </c>
      <c r="J139" s="12">
        <f t="shared" si="15"/>
        <v>2007.4452367455215</v>
      </c>
      <c r="K139">
        <f t="shared" ca="1" si="16"/>
        <v>10</v>
      </c>
      <c r="L139">
        <f ca="1">MIN(DATEDIF(Tabla1[[#This Row],[FechaDesembolso]],TODAY(),"m"),Tabla1[[#This Row],[Plazos (Meses)]])</f>
        <v>38</v>
      </c>
      <c r="M139">
        <f t="shared" ca="1" si="17"/>
        <v>43</v>
      </c>
      <c r="N139" s="8" t="s">
        <v>1252</v>
      </c>
      <c r="O139" s="8">
        <v>10</v>
      </c>
      <c r="P139" s="13">
        <f t="shared" ca="1" si="19"/>
        <v>58516.999999999978</v>
      </c>
      <c r="Q13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9033.5089712287991</v>
      </c>
      <c r="R139" s="8" t="str">
        <f t="shared" si="18"/>
        <v>En mora</v>
      </c>
      <c r="S139">
        <f ca="1">IF(Tabla1[[#This Row],[En Mora]]="No","",DATEDIF((EDATE(Tabla1[[#This Row],[FechaDesembolso]],Tabla1[[#This Row],[Mes de Mora]])),TODAY(),"d"))</f>
        <v>873</v>
      </c>
    </row>
    <row r="140" spans="1:19" x14ac:dyDescent="0.25">
      <c r="A140" t="s">
        <v>982</v>
      </c>
      <c r="B140" t="s">
        <v>112</v>
      </c>
      <c r="C140" s="8" t="s">
        <v>33</v>
      </c>
      <c r="D140" s="8" t="str">
        <f>_xlfn.XLOOKUP(B140,Clientes!A:A,Clientes!G:G,"No encontrado",0)</f>
        <v>AG05</v>
      </c>
      <c r="E140" s="9">
        <v>46172</v>
      </c>
      <c r="F140" s="11">
        <v>43987</v>
      </c>
      <c r="G140" s="10">
        <v>0.3752443363844632</v>
      </c>
      <c r="H140" s="10">
        <f t="shared" si="14"/>
        <v>2.6908279573391258E-2</v>
      </c>
      <c r="I140">
        <v>19</v>
      </c>
      <c r="J140" s="12">
        <f t="shared" si="15"/>
        <v>2987.473703866136</v>
      </c>
      <c r="K140">
        <f t="shared" ca="1" si="16"/>
        <v>2</v>
      </c>
      <c r="L140">
        <f ca="1">MIN(DATEDIF(Tabla1[[#This Row],[FechaDesembolso]],TODAY(),"m"),Tabla1[[#This Row],[Plazos (Meses)]])</f>
        <v>2</v>
      </c>
      <c r="M140">
        <f t="shared" ca="1" si="17"/>
        <v>17</v>
      </c>
      <c r="N140" s="8" t="s">
        <v>1251</v>
      </c>
      <c r="O140" s="8" t="s">
        <v>1253</v>
      </c>
      <c r="P140" s="13">
        <f t="shared" ca="1" si="19"/>
        <v>43986.999999999956</v>
      </c>
      <c r="Q14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1344.7368814164824</v>
      </c>
      <c r="R140" s="8" t="str">
        <f t="shared" ca="1" si="18"/>
        <v>Vigente</v>
      </c>
      <c r="S140" t="str">
        <f ca="1">IF(Tabla1[[#This Row],[En Mora]]="No","",DATEDIF((EDATE(Tabla1[[#This Row],[FechaDesembolso]],Tabla1[[#This Row],[Mes de Mora]])),TODAY(),"d"))</f>
        <v/>
      </c>
    </row>
    <row r="141" spans="1:19" x14ac:dyDescent="0.25">
      <c r="A141" t="s">
        <v>983</v>
      </c>
      <c r="B141" t="s">
        <v>645</v>
      </c>
      <c r="C141" s="8" t="s">
        <v>33</v>
      </c>
      <c r="D141" s="8" t="str">
        <f>_xlfn.XLOOKUP(B141,Clientes!A:A,Clientes!G:G,"No encontrado",0)</f>
        <v>AG08</v>
      </c>
      <c r="E141" s="9">
        <v>46198</v>
      </c>
      <c r="F141" s="11">
        <v>22581</v>
      </c>
      <c r="G141" s="10">
        <v>0.42391686080195506</v>
      </c>
      <c r="H141" s="10">
        <f t="shared" si="14"/>
        <v>2.9888920500243277E-2</v>
      </c>
      <c r="I141">
        <v>35</v>
      </c>
      <c r="J141" s="12">
        <f t="shared" si="15"/>
        <v>1049.2001848857392</v>
      </c>
      <c r="K141">
        <f t="shared" ca="1" si="16"/>
        <v>1</v>
      </c>
      <c r="L141">
        <f ca="1">MIN(DATEDIF(Tabla1[[#This Row],[FechaDesembolso]],TODAY(),"m"),Tabla1[[#This Row],[Plazos (Meses)]])</f>
        <v>1</v>
      </c>
      <c r="M141">
        <f t="shared" ca="1" si="17"/>
        <v>34</v>
      </c>
      <c r="N141" s="8" t="s">
        <v>1251</v>
      </c>
      <c r="O141" s="8" t="s">
        <v>1253</v>
      </c>
      <c r="P141" s="13">
        <f t="shared" ca="1" si="19"/>
        <v>22581.000000000011</v>
      </c>
      <c r="Q14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404.02875631431067</v>
      </c>
      <c r="R141" s="8" t="str">
        <f t="shared" ca="1" si="18"/>
        <v>Vigente</v>
      </c>
      <c r="S141" t="str">
        <f ca="1">IF(Tabla1[[#This Row],[En Mora]]="No","",DATEDIF((EDATE(Tabla1[[#This Row],[FechaDesembolso]],Tabla1[[#This Row],[Mes de Mora]])),TODAY(),"d"))</f>
        <v/>
      </c>
    </row>
    <row r="142" spans="1:19" x14ac:dyDescent="0.25">
      <c r="A142" t="s">
        <v>984</v>
      </c>
      <c r="B142" t="s">
        <v>251</v>
      </c>
      <c r="C142" s="8" t="s">
        <v>37</v>
      </c>
      <c r="D142" s="8" t="str">
        <f>_xlfn.XLOOKUP(B142,Clientes!A:A,Clientes!G:G,"No encontrado",0)</f>
        <v>AG08</v>
      </c>
      <c r="E142" s="9">
        <v>46120</v>
      </c>
      <c r="F142" s="11">
        <v>246805</v>
      </c>
      <c r="G142" s="10">
        <v>0.11841365887814614</v>
      </c>
      <c r="H142" s="10">
        <f t="shared" si="14"/>
        <v>9.3695642064288709E-3</v>
      </c>
      <c r="I142">
        <v>88</v>
      </c>
      <c r="J142" s="12">
        <f t="shared" si="15"/>
        <v>4130.3505423519555</v>
      </c>
      <c r="K142">
        <f t="shared" ca="1" si="16"/>
        <v>4</v>
      </c>
      <c r="L142">
        <f ca="1">MIN(DATEDIF(Tabla1[[#This Row],[FechaDesembolso]],TODAY(),"m"),Tabla1[[#This Row],[Plazos (Meses)]])</f>
        <v>4</v>
      </c>
      <c r="M142">
        <f t="shared" ca="1" si="17"/>
        <v>84</v>
      </c>
      <c r="N142" s="8" t="s">
        <v>1251</v>
      </c>
      <c r="O142" s="8" t="s">
        <v>1253</v>
      </c>
      <c r="P142" s="13">
        <f t="shared" ca="1" si="19"/>
        <v>246804.99999999919</v>
      </c>
      <c r="Q14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5302.9930784987309</v>
      </c>
      <c r="R142" s="8" t="str">
        <f t="shared" ca="1" si="18"/>
        <v>Vigente</v>
      </c>
      <c r="S142" t="str">
        <f ca="1">IF(Tabla1[[#This Row],[En Mora]]="No","",DATEDIF((EDATE(Tabla1[[#This Row],[FechaDesembolso]],Tabla1[[#This Row],[Mes de Mora]])),TODAY(),"d"))</f>
        <v/>
      </c>
    </row>
    <row r="143" spans="1:19" x14ac:dyDescent="0.25">
      <c r="A143" t="s">
        <v>985</v>
      </c>
      <c r="B143" t="s">
        <v>660</v>
      </c>
      <c r="C143" s="8" t="s">
        <v>33</v>
      </c>
      <c r="D143" s="8" t="str">
        <f>_xlfn.XLOOKUP(B143,Clientes!A:A,Clientes!G:G,"No encontrado",0)</f>
        <v>AG03</v>
      </c>
      <c r="E143" s="9">
        <v>46111</v>
      </c>
      <c r="F143" s="11">
        <v>4056</v>
      </c>
      <c r="G143" s="10">
        <v>0.26513077512483058</v>
      </c>
      <c r="H143" s="10">
        <f t="shared" si="14"/>
        <v>1.9791258712516413E-2</v>
      </c>
      <c r="I143">
        <v>14</v>
      </c>
      <c r="J143" s="12">
        <f t="shared" si="15"/>
        <v>334.5415933049332</v>
      </c>
      <c r="K143">
        <f t="shared" ca="1" si="16"/>
        <v>4</v>
      </c>
      <c r="L143">
        <f ca="1">MIN(DATEDIF(Tabla1[[#This Row],[FechaDesembolso]],TODAY(),"m"),Tabla1[[#This Row],[Plazos (Meses)]])</f>
        <v>4</v>
      </c>
      <c r="M143">
        <f t="shared" ca="1" si="17"/>
        <v>10</v>
      </c>
      <c r="N143" s="8" t="s">
        <v>1251</v>
      </c>
      <c r="O143" s="8" t="s">
        <v>1253</v>
      </c>
      <c r="P143" s="13">
        <f t="shared" ca="1" si="19"/>
        <v>4055.9999999999936</v>
      </c>
      <c r="Q14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179.30923036259003</v>
      </c>
      <c r="R143" s="8" t="str">
        <f t="shared" ca="1" si="18"/>
        <v>Vigente</v>
      </c>
      <c r="S143" t="str">
        <f ca="1">IF(Tabla1[[#This Row],[En Mora]]="No","",DATEDIF((EDATE(Tabla1[[#This Row],[FechaDesembolso]],Tabla1[[#This Row],[Mes de Mora]])),TODAY(),"d"))</f>
        <v/>
      </c>
    </row>
    <row r="144" spans="1:19" x14ac:dyDescent="0.25">
      <c r="A144" t="s">
        <v>986</v>
      </c>
      <c r="B144" t="s">
        <v>229</v>
      </c>
      <c r="C144" s="8" t="s">
        <v>37</v>
      </c>
      <c r="D144" s="8" t="str">
        <f>_xlfn.XLOOKUP(B144,Clientes!A:A,Clientes!G:G,"No encontrado",0)</f>
        <v>AG05</v>
      </c>
      <c r="E144" s="9">
        <v>45693</v>
      </c>
      <c r="F144" s="11">
        <v>93681</v>
      </c>
      <c r="G144" s="10">
        <v>0.1034990332609859</v>
      </c>
      <c r="H144" s="10">
        <f t="shared" si="14"/>
        <v>8.2409437200481328E-3</v>
      </c>
      <c r="I144">
        <v>121</v>
      </c>
      <c r="J144" s="12">
        <f t="shared" si="15"/>
        <v>1226.2818340583508</v>
      </c>
      <c r="K144">
        <f t="shared" ca="1" si="16"/>
        <v>18</v>
      </c>
      <c r="L144">
        <f ca="1">MIN(DATEDIF(Tabla1[[#This Row],[FechaDesembolso]],TODAY(),"m"),Tabla1[[#This Row],[Plazos (Meses)]])</f>
        <v>18</v>
      </c>
      <c r="M144">
        <f t="shared" ca="1" si="17"/>
        <v>103</v>
      </c>
      <c r="N144" s="8" t="s">
        <v>1251</v>
      </c>
      <c r="O144" s="8" t="s">
        <v>1253</v>
      </c>
      <c r="P144" s="13">
        <f t="shared" ca="1" si="19"/>
        <v>93680.999999999825</v>
      </c>
      <c r="Q14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8137.0564841246942</v>
      </c>
      <c r="R144" s="8" t="str">
        <f t="shared" ca="1" si="18"/>
        <v>Vigente</v>
      </c>
      <c r="S144" t="str">
        <f ca="1">IF(Tabla1[[#This Row],[En Mora]]="No","",DATEDIF((EDATE(Tabla1[[#This Row],[FechaDesembolso]],Tabla1[[#This Row],[Mes de Mora]])),TODAY(),"d"))</f>
        <v/>
      </c>
    </row>
    <row r="145" spans="1:19" x14ac:dyDescent="0.25">
      <c r="A145" t="s">
        <v>987</v>
      </c>
      <c r="B145" t="s">
        <v>633</v>
      </c>
      <c r="C145" s="8" t="s">
        <v>39</v>
      </c>
      <c r="D145" s="8" t="str">
        <f>_xlfn.XLOOKUP(B145,Clientes!A:A,Clientes!G:G,"No encontrado",0)</f>
        <v>AG05</v>
      </c>
      <c r="E145" s="9">
        <v>45076</v>
      </c>
      <c r="F145" s="11">
        <v>4386</v>
      </c>
      <c r="G145" s="10">
        <v>0.23989060616008026</v>
      </c>
      <c r="H145" s="10">
        <f t="shared" si="14"/>
        <v>1.8080097469157508E-2</v>
      </c>
      <c r="I145">
        <v>19</v>
      </c>
      <c r="J145" s="12">
        <f t="shared" si="15"/>
        <v>274.81782596170018</v>
      </c>
      <c r="K145">
        <f t="shared" ca="1" si="16"/>
        <v>19</v>
      </c>
      <c r="L145">
        <f ca="1">MIN(DATEDIF(Tabla1[[#This Row],[FechaDesembolso]],TODAY(),"m"),Tabla1[[#This Row],[Plazos (Meses)]])</f>
        <v>19</v>
      </c>
      <c r="M145">
        <f t="shared" ca="1" si="17"/>
        <v>0</v>
      </c>
      <c r="N145" s="8" t="s">
        <v>1251</v>
      </c>
      <c r="O145" s="8" t="s">
        <v>1253</v>
      </c>
      <c r="P145" s="13">
        <f t="shared" ca="1" si="19"/>
        <v>0</v>
      </c>
      <c r="Q14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45" s="8" t="str">
        <f t="shared" ca="1" si="18"/>
        <v>Cancelado</v>
      </c>
      <c r="S145" t="str">
        <f ca="1">IF(Tabla1[[#This Row],[En Mora]]="No","",DATEDIF((EDATE(Tabla1[[#This Row],[FechaDesembolso]],Tabla1[[#This Row],[Mes de Mora]])),TODAY(),"d"))</f>
        <v/>
      </c>
    </row>
    <row r="146" spans="1:19" x14ac:dyDescent="0.25">
      <c r="A146" t="s">
        <v>988</v>
      </c>
      <c r="B146" t="s">
        <v>585</v>
      </c>
      <c r="C146" s="8" t="s">
        <v>37</v>
      </c>
      <c r="D146" s="8" t="str">
        <f>_xlfn.XLOOKUP(B146,Clientes!A:A,Clientes!G:G,"No encontrado",0)</f>
        <v>AG08</v>
      </c>
      <c r="E146" s="9">
        <v>44626</v>
      </c>
      <c r="F146" s="11">
        <v>126531</v>
      </c>
      <c r="G146" s="10">
        <v>0.10903197145804011</v>
      </c>
      <c r="H146" s="10">
        <f t="shared" si="14"/>
        <v>8.6612549040687714E-3</v>
      </c>
      <c r="I146">
        <v>186</v>
      </c>
      <c r="J146" s="12">
        <f t="shared" si="15"/>
        <v>1371.746902113473</v>
      </c>
      <c r="K146">
        <f t="shared" ca="1" si="16"/>
        <v>53</v>
      </c>
      <c r="L146">
        <f ca="1">MIN(DATEDIF(Tabla1[[#This Row],[FechaDesembolso]],TODAY(),"m"),Tabla1[[#This Row],[Plazos (Meses)]])</f>
        <v>53</v>
      </c>
      <c r="M146">
        <f t="shared" ca="1" si="17"/>
        <v>133</v>
      </c>
      <c r="N146" s="8" t="s">
        <v>1251</v>
      </c>
      <c r="O146" s="8" t="s">
        <v>1253</v>
      </c>
      <c r="P146" s="13">
        <f t="shared" ca="1" si="19"/>
        <v>126530.99999999961</v>
      </c>
      <c r="Q14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36648.053553949554</v>
      </c>
      <c r="R146" s="8" t="str">
        <f t="shared" ca="1" si="18"/>
        <v>Vigente</v>
      </c>
      <c r="S146" t="str">
        <f ca="1">IF(Tabla1[[#This Row],[En Mora]]="No","",DATEDIF((EDATE(Tabla1[[#This Row],[FechaDesembolso]],Tabla1[[#This Row],[Mes de Mora]])),TODAY(),"d"))</f>
        <v/>
      </c>
    </row>
    <row r="147" spans="1:19" x14ac:dyDescent="0.25">
      <c r="A147" t="s">
        <v>989</v>
      </c>
      <c r="B147" t="s">
        <v>116</v>
      </c>
      <c r="C147" s="8" t="s">
        <v>37</v>
      </c>
      <c r="D147" s="8" t="str">
        <f>_xlfn.XLOOKUP(B147,Clientes!A:A,Clientes!G:G,"No encontrado",0)</f>
        <v>AG06</v>
      </c>
      <c r="E147" s="9">
        <v>45406</v>
      </c>
      <c r="F147" s="11">
        <v>197995</v>
      </c>
      <c r="G147" s="10">
        <v>9.1236933931037281E-2</v>
      </c>
      <c r="H147" s="10">
        <f t="shared" si="14"/>
        <v>7.3025221995781653E-3</v>
      </c>
      <c r="I147">
        <v>158</v>
      </c>
      <c r="J147" s="12">
        <f t="shared" si="15"/>
        <v>2116.1906549632608</v>
      </c>
      <c r="K147">
        <f t="shared" ca="1" si="16"/>
        <v>27</v>
      </c>
      <c r="L147">
        <f ca="1">MIN(DATEDIF(Tabla1[[#This Row],[FechaDesembolso]],TODAY(),"m"),Tabla1[[#This Row],[Plazos (Meses)]])</f>
        <v>27</v>
      </c>
      <c r="M147">
        <f t="shared" ca="1" si="17"/>
        <v>131</v>
      </c>
      <c r="N147" s="8" t="s">
        <v>1251</v>
      </c>
      <c r="O147" s="8" t="s">
        <v>1253</v>
      </c>
      <c r="P147" s="13">
        <f t="shared" ca="1" si="19"/>
        <v>197995.00000000061</v>
      </c>
      <c r="Q14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23302.559076413105</v>
      </c>
      <c r="R147" s="8" t="str">
        <f t="shared" ca="1" si="18"/>
        <v>Vigente</v>
      </c>
      <c r="S147" t="str">
        <f ca="1">IF(Tabla1[[#This Row],[En Mora]]="No","",DATEDIF((EDATE(Tabla1[[#This Row],[FechaDesembolso]],Tabla1[[#This Row],[Mes de Mora]])),TODAY(),"d"))</f>
        <v/>
      </c>
    </row>
    <row r="148" spans="1:19" x14ac:dyDescent="0.25">
      <c r="A148" t="s">
        <v>990</v>
      </c>
      <c r="B148" t="s">
        <v>85</v>
      </c>
      <c r="C148" s="8" t="s">
        <v>39</v>
      </c>
      <c r="D148" s="8" t="str">
        <f>_xlfn.XLOOKUP(B148,Clientes!A:A,Clientes!G:G,"No encontrado",0)</f>
        <v>AG04</v>
      </c>
      <c r="E148" s="9">
        <v>45483</v>
      </c>
      <c r="F148" s="11">
        <v>14338</v>
      </c>
      <c r="G148" s="10">
        <v>0.31799705806436701</v>
      </c>
      <c r="H148" s="10">
        <f t="shared" si="14"/>
        <v>2.3276192744503321E-2</v>
      </c>
      <c r="I148">
        <v>22</v>
      </c>
      <c r="J148" s="12">
        <f t="shared" si="15"/>
        <v>840.16854045519153</v>
      </c>
      <c r="K148">
        <f t="shared" ca="1" si="16"/>
        <v>22</v>
      </c>
      <c r="L148">
        <f ca="1">MIN(DATEDIF(Tabla1[[#This Row],[FechaDesembolso]],TODAY(),"m"),Tabla1[[#This Row],[Plazos (Meses)]])</f>
        <v>22</v>
      </c>
      <c r="M148">
        <f t="shared" ca="1" si="17"/>
        <v>0</v>
      </c>
      <c r="N148" s="8" t="s">
        <v>1251</v>
      </c>
      <c r="O148" s="8" t="s">
        <v>1253</v>
      </c>
      <c r="P148" s="13">
        <f t="shared" ca="1" si="19"/>
        <v>0</v>
      </c>
      <c r="Q14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48" s="8" t="str">
        <f t="shared" ca="1" si="18"/>
        <v>Cancelado</v>
      </c>
      <c r="S148" t="str">
        <f ca="1">IF(Tabla1[[#This Row],[En Mora]]="No","",DATEDIF((EDATE(Tabla1[[#This Row],[FechaDesembolso]],Tabla1[[#This Row],[Mes de Mora]])),TODAY(),"d"))</f>
        <v/>
      </c>
    </row>
    <row r="149" spans="1:19" x14ac:dyDescent="0.25">
      <c r="A149" t="s">
        <v>991</v>
      </c>
      <c r="B149" t="s">
        <v>828</v>
      </c>
      <c r="C149" s="8" t="s">
        <v>37</v>
      </c>
      <c r="D149" s="8" t="str">
        <f>_xlfn.XLOOKUP(B149,Clientes!A:A,Clientes!G:G,"No encontrado",0)</f>
        <v>AG07</v>
      </c>
      <c r="E149" s="9">
        <v>46046</v>
      </c>
      <c r="F149" s="11">
        <v>64280</v>
      </c>
      <c r="G149" s="10">
        <v>9.330567200449999E-2</v>
      </c>
      <c r="H149" s="10">
        <f t="shared" si="14"/>
        <v>7.4615188817972466E-3</v>
      </c>
      <c r="I149">
        <v>223</v>
      </c>
      <c r="J149" s="12">
        <f t="shared" si="15"/>
        <v>592.54753555805178</v>
      </c>
      <c r="K149">
        <f t="shared" ca="1" si="16"/>
        <v>6</v>
      </c>
      <c r="L149">
        <f ca="1">MIN(DATEDIF(Tabla1[[#This Row],[FechaDesembolso]],TODAY(),"m"),Tabla1[[#This Row],[Plazos (Meses)]])</f>
        <v>6</v>
      </c>
      <c r="M149">
        <f t="shared" ca="1" si="17"/>
        <v>217</v>
      </c>
      <c r="N149" s="8" t="s">
        <v>1251</v>
      </c>
      <c r="O149" s="8" t="s">
        <v>1253</v>
      </c>
      <c r="P149" s="13">
        <f t="shared" ca="1" si="19"/>
        <v>64280.000000000007</v>
      </c>
      <c r="Q14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1825.7784868909114</v>
      </c>
      <c r="R149" s="8" t="str">
        <f t="shared" ca="1" si="18"/>
        <v>Vigente</v>
      </c>
      <c r="S149" t="str">
        <f ca="1">IF(Tabla1[[#This Row],[En Mora]]="No","",DATEDIF((EDATE(Tabla1[[#This Row],[FechaDesembolso]],Tabla1[[#This Row],[Mes de Mora]])),TODAY(),"d"))</f>
        <v/>
      </c>
    </row>
    <row r="150" spans="1:19" x14ac:dyDescent="0.25">
      <c r="A150" t="s">
        <v>992</v>
      </c>
      <c r="B150" t="s">
        <v>127</v>
      </c>
      <c r="C150" s="8" t="s">
        <v>37</v>
      </c>
      <c r="D150" s="8" t="str">
        <f>_xlfn.XLOOKUP(B150,Clientes!A:A,Clientes!G:G,"No encontrado",0)</f>
        <v>AG04</v>
      </c>
      <c r="E150" s="9">
        <v>45707</v>
      </c>
      <c r="F150" s="11">
        <v>59028</v>
      </c>
      <c r="G150" s="10">
        <v>0.11337463845134071</v>
      </c>
      <c r="H150" s="10">
        <f t="shared" si="14"/>
        <v>8.9898025577179741E-3</v>
      </c>
      <c r="I150">
        <v>170</v>
      </c>
      <c r="J150" s="12">
        <f t="shared" si="15"/>
        <v>678.92585859313454</v>
      </c>
      <c r="K150">
        <f t="shared" ca="1" si="16"/>
        <v>17</v>
      </c>
      <c r="L150">
        <f ca="1">MIN(DATEDIF(Tabla1[[#This Row],[FechaDesembolso]],TODAY(),"m"),Tabla1[[#This Row],[Plazos (Meses)]])</f>
        <v>17</v>
      </c>
      <c r="M150">
        <f t="shared" ca="1" si="17"/>
        <v>153</v>
      </c>
      <c r="N150" s="8" t="s">
        <v>1251</v>
      </c>
      <c r="O150" s="8" t="s">
        <v>1253</v>
      </c>
      <c r="P150" s="13">
        <f t="shared" ca="1" si="19"/>
        <v>59028.000000000015</v>
      </c>
      <c r="Q15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5638.9395960832881</v>
      </c>
      <c r="R150" s="8" t="str">
        <f t="shared" ca="1" si="18"/>
        <v>Vigente</v>
      </c>
      <c r="S150" t="str">
        <f ca="1">IF(Tabla1[[#This Row],[En Mora]]="No","",DATEDIF((EDATE(Tabla1[[#This Row],[FechaDesembolso]],Tabla1[[#This Row],[Mes de Mora]])),TODAY(),"d"))</f>
        <v/>
      </c>
    </row>
    <row r="151" spans="1:19" x14ac:dyDescent="0.25">
      <c r="A151" t="s">
        <v>993</v>
      </c>
      <c r="B151" t="s">
        <v>441</v>
      </c>
      <c r="C151" s="8" t="s">
        <v>37</v>
      </c>
      <c r="D151" s="8" t="str">
        <f>_xlfn.XLOOKUP(B151,Clientes!A:A,Clientes!G:G,"No encontrado",0)</f>
        <v>AG03</v>
      </c>
      <c r="E151" s="9">
        <v>46170</v>
      </c>
      <c r="F151" s="11">
        <v>110254</v>
      </c>
      <c r="G151" s="10">
        <v>9.8735714210898121E-2</v>
      </c>
      <c r="H151" s="10">
        <f t="shared" si="14"/>
        <v>7.8775465506109033E-3</v>
      </c>
      <c r="I151">
        <v>194</v>
      </c>
      <c r="J151" s="12">
        <f t="shared" si="15"/>
        <v>1110.9646274920226</v>
      </c>
      <c r="K151">
        <f t="shared" ca="1" si="16"/>
        <v>1</v>
      </c>
      <c r="L151">
        <f ca="1">MIN(DATEDIF(Tabla1[[#This Row],[FechaDesembolso]],TODAY(),"m"),Tabla1[[#This Row],[Plazos (Meses)]])</f>
        <v>2</v>
      </c>
      <c r="M151">
        <f t="shared" ca="1" si="17"/>
        <v>193</v>
      </c>
      <c r="N151" s="8" t="s">
        <v>1252</v>
      </c>
      <c r="O151" s="8">
        <v>1</v>
      </c>
      <c r="P151" s="13">
        <f t="shared" ca="1" si="19"/>
        <v>110254.00000000029</v>
      </c>
      <c r="Q15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542.64503986315651</v>
      </c>
      <c r="R151" s="8" t="str">
        <f t="shared" si="18"/>
        <v>En mora</v>
      </c>
      <c r="S151">
        <f ca="1">IF(Tabla1[[#This Row],[En Mora]]="No","",DATEDIF((EDATE(Tabla1[[#This Row],[FechaDesembolso]],Tabla1[[#This Row],[Mes de Mora]])),TODAY(),"d"))</f>
        <v>45</v>
      </c>
    </row>
    <row r="152" spans="1:19" x14ac:dyDescent="0.25">
      <c r="A152" t="s">
        <v>994</v>
      </c>
      <c r="B152" t="s">
        <v>465</v>
      </c>
      <c r="C152" s="8" t="s">
        <v>39</v>
      </c>
      <c r="D152" s="8" t="str">
        <f>_xlfn.XLOOKUP(B152,Clientes!A:A,Clientes!G:G,"No encontrado",0)</f>
        <v>AG04</v>
      </c>
      <c r="E152" s="9">
        <v>46197</v>
      </c>
      <c r="F152" s="11">
        <v>14241</v>
      </c>
      <c r="G152" s="10">
        <v>0.33375607158192488</v>
      </c>
      <c r="H152" s="10">
        <f t="shared" si="14"/>
        <v>2.4290239010652526E-2</v>
      </c>
      <c r="I152">
        <v>14</v>
      </c>
      <c r="J152" s="12">
        <f t="shared" si="15"/>
        <v>1212.1451831162155</v>
      </c>
      <c r="K152">
        <f t="shared" ca="1" si="16"/>
        <v>1</v>
      </c>
      <c r="L152">
        <f ca="1">MIN(DATEDIF(Tabla1[[#This Row],[FechaDesembolso]],TODAY(),"m"),Tabla1[[#This Row],[Plazos (Meses)]])</f>
        <v>1</v>
      </c>
      <c r="M152">
        <f t="shared" ca="1" si="17"/>
        <v>13</v>
      </c>
      <c r="N152" s="8" t="s">
        <v>1251</v>
      </c>
      <c r="O152" s="8" t="s">
        <v>1253</v>
      </c>
      <c r="P152" s="13">
        <f t="shared" ca="1" si="19"/>
        <v>14241.000000000004</v>
      </c>
      <c r="Q15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194.9308974019298</v>
      </c>
      <c r="R152" s="8" t="str">
        <f t="shared" ca="1" si="18"/>
        <v>Vigente</v>
      </c>
      <c r="S152" t="str">
        <f ca="1">IF(Tabla1[[#This Row],[En Mora]]="No","",DATEDIF((EDATE(Tabla1[[#This Row],[FechaDesembolso]],Tabla1[[#This Row],[Mes de Mora]])),TODAY(),"d"))</f>
        <v/>
      </c>
    </row>
    <row r="153" spans="1:19" x14ac:dyDescent="0.25">
      <c r="A153" t="s">
        <v>995</v>
      </c>
      <c r="B153" t="s">
        <v>447</v>
      </c>
      <c r="C153" s="8" t="s">
        <v>37</v>
      </c>
      <c r="D153" s="8" t="str">
        <f>_xlfn.XLOOKUP(B153,Clientes!A:A,Clientes!G:G,"No encontrado",0)</f>
        <v>AG08</v>
      </c>
      <c r="E153" s="9">
        <v>46079</v>
      </c>
      <c r="F153" s="11">
        <v>125916</v>
      </c>
      <c r="G153" s="10">
        <v>0.11742538526757228</v>
      </c>
      <c r="H153" s="10">
        <f t="shared" si="14"/>
        <v>9.295207584888221E-3</v>
      </c>
      <c r="I153">
        <v>155</v>
      </c>
      <c r="J153" s="12">
        <f t="shared" si="15"/>
        <v>1536.6420478005448</v>
      </c>
      <c r="K153">
        <f t="shared" ca="1" si="16"/>
        <v>5</v>
      </c>
      <c r="L153">
        <f ca="1">MIN(DATEDIF(Tabla1[[#This Row],[FechaDesembolso]],TODAY(),"m"),Tabla1[[#This Row],[Plazos (Meses)]])</f>
        <v>5</v>
      </c>
      <c r="M153">
        <f t="shared" ca="1" si="17"/>
        <v>150</v>
      </c>
      <c r="N153" s="8" t="s">
        <v>1251</v>
      </c>
      <c r="O153" s="8" t="s">
        <v>1253</v>
      </c>
      <c r="P153" s="13">
        <f t="shared" ca="1" si="19"/>
        <v>125916.00000000016</v>
      </c>
      <c r="Q15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3621.403787389821</v>
      </c>
      <c r="R153" s="8" t="str">
        <f t="shared" ca="1" si="18"/>
        <v>Vigente</v>
      </c>
      <c r="S153" t="str">
        <f ca="1">IF(Tabla1[[#This Row],[En Mora]]="No","",DATEDIF((EDATE(Tabla1[[#This Row],[FechaDesembolso]],Tabla1[[#This Row],[Mes de Mora]])),TODAY(),"d"))</f>
        <v/>
      </c>
    </row>
    <row r="154" spans="1:19" x14ac:dyDescent="0.25">
      <c r="A154" t="s">
        <v>996</v>
      </c>
      <c r="B154" t="s">
        <v>447</v>
      </c>
      <c r="C154" s="8" t="s">
        <v>39</v>
      </c>
      <c r="D154" s="8" t="str">
        <f>_xlfn.XLOOKUP(B154,Clientes!A:A,Clientes!G:G,"No encontrado",0)</f>
        <v>AG08</v>
      </c>
      <c r="E154" s="9">
        <v>46088</v>
      </c>
      <c r="F154" s="11">
        <v>3341</v>
      </c>
      <c r="G154" s="10">
        <v>0.35082027408078825</v>
      </c>
      <c r="H154" s="10">
        <f t="shared" si="14"/>
        <v>2.5375959261896286E-2</v>
      </c>
      <c r="I154">
        <v>20</v>
      </c>
      <c r="J154" s="12">
        <f t="shared" si="15"/>
        <v>215.07740794894914</v>
      </c>
      <c r="K154">
        <f t="shared" ca="1" si="16"/>
        <v>5</v>
      </c>
      <c r="L154">
        <f ca="1">MIN(DATEDIF(Tabla1[[#This Row],[FechaDesembolso]],TODAY(),"m"),Tabla1[[#This Row],[Plazos (Meses)]])</f>
        <v>5</v>
      </c>
      <c r="M154">
        <f t="shared" ca="1" si="17"/>
        <v>15</v>
      </c>
      <c r="N154" s="8" t="s">
        <v>1251</v>
      </c>
      <c r="O154" s="8" t="s">
        <v>1253</v>
      </c>
      <c r="P154" s="13">
        <f t="shared" ca="1" si="19"/>
        <v>3340.9999999999977</v>
      </c>
      <c r="Q15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240.13703974474583</v>
      </c>
      <c r="R154" s="8" t="str">
        <f t="shared" ca="1" si="18"/>
        <v>Vigente</v>
      </c>
      <c r="S154" t="str">
        <f ca="1">IF(Tabla1[[#This Row],[En Mora]]="No","",DATEDIF((EDATE(Tabla1[[#This Row],[FechaDesembolso]],Tabla1[[#This Row],[Mes de Mora]])),TODAY(),"d"))</f>
        <v/>
      </c>
    </row>
    <row r="155" spans="1:19" x14ac:dyDescent="0.25">
      <c r="A155" t="s">
        <v>997</v>
      </c>
      <c r="B155" t="s">
        <v>297</v>
      </c>
      <c r="C155" s="8" t="s">
        <v>35</v>
      </c>
      <c r="D155" s="8" t="str">
        <f>_xlfn.XLOOKUP(B155,Clientes!A:A,Clientes!G:G,"No encontrado",0)</f>
        <v>AG03</v>
      </c>
      <c r="E155" s="9">
        <v>45580</v>
      </c>
      <c r="F155" s="11">
        <v>21684</v>
      </c>
      <c r="G155" s="10">
        <v>0.27808717492665824</v>
      </c>
      <c r="H155" s="10">
        <f t="shared" si="14"/>
        <v>2.0657520072476565E-2</v>
      </c>
      <c r="I155">
        <v>27</v>
      </c>
      <c r="J155" s="12">
        <f t="shared" si="15"/>
        <v>1055.8506459263922</v>
      </c>
      <c r="K155">
        <f t="shared" ca="1" si="16"/>
        <v>21</v>
      </c>
      <c r="L155">
        <f ca="1">MIN(DATEDIF(Tabla1[[#This Row],[FechaDesembolso]],TODAY(),"m"),Tabla1[[#This Row],[Plazos (Meses)]])</f>
        <v>21</v>
      </c>
      <c r="M155">
        <f t="shared" ca="1" si="17"/>
        <v>6</v>
      </c>
      <c r="N155" s="8" t="s">
        <v>1251</v>
      </c>
      <c r="O155" s="8" t="s">
        <v>1253</v>
      </c>
      <c r="P155" s="13">
        <f t="shared" ca="1" si="19"/>
        <v>21683.999999999971</v>
      </c>
      <c r="Q15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5307.5302311209016</v>
      </c>
      <c r="R155" s="8" t="str">
        <f t="shared" ca="1" si="18"/>
        <v>Vigente</v>
      </c>
      <c r="S155" t="str">
        <f ca="1">IF(Tabla1[[#This Row],[En Mora]]="No","",DATEDIF((EDATE(Tabla1[[#This Row],[FechaDesembolso]],Tabla1[[#This Row],[Mes de Mora]])),TODAY(),"d"))</f>
        <v/>
      </c>
    </row>
    <row r="156" spans="1:19" x14ac:dyDescent="0.25">
      <c r="A156" t="s">
        <v>998</v>
      </c>
      <c r="B156" t="s">
        <v>260</v>
      </c>
      <c r="C156" s="8" t="s">
        <v>33</v>
      </c>
      <c r="D156" s="8" t="str">
        <f>_xlfn.XLOOKUP(B156,Clientes!A:A,Clientes!G:G,"No encontrado",0)</f>
        <v>AG06</v>
      </c>
      <c r="E156" s="9">
        <v>46008</v>
      </c>
      <c r="F156" s="11">
        <v>29084</v>
      </c>
      <c r="G156" s="10">
        <v>0.4263090001783425</v>
      </c>
      <c r="H156" s="10">
        <f t="shared" si="14"/>
        <v>3.0032991581725899E-2</v>
      </c>
      <c r="I156">
        <v>47</v>
      </c>
      <c r="J156" s="12">
        <f t="shared" si="15"/>
        <v>1162.9086651462878</v>
      </c>
      <c r="K156">
        <f t="shared" ca="1" si="16"/>
        <v>7</v>
      </c>
      <c r="L156">
        <f ca="1">MIN(DATEDIF(Tabla1[[#This Row],[FechaDesembolso]],TODAY(),"m"),Tabla1[[#This Row],[Plazos (Meses)]])</f>
        <v>7</v>
      </c>
      <c r="M156">
        <f t="shared" ca="1" si="17"/>
        <v>40</v>
      </c>
      <c r="N156" s="8" t="s">
        <v>1251</v>
      </c>
      <c r="O156" s="8" t="s">
        <v>1253</v>
      </c>
      <c r="P156" s="13">
        <f t="shared" ca="1" si="19"/>
        <v>29084.000000000018</v>
      </c>
      <c r="Q15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3808.7010815559292</v>
      </c>
      <c r="R156" s="8" t="str">
        <f t="shared" ca="1" si="18"/>
        <v>Vigente</v>
      </c>
      <c r="S156" t="str">
        <f ca="1">IF(Tabla1[[#This Row],[En Mora]]="No","",DATEDIF((EDATE(Tabla1[[#This Row],[FechaDesembolso]],Tabla1[[#This Row],[Mes de Mora]])),TODAY(),"d"))</f>
        <v/>
      </c>
    </row>
    <row r="157" spans="1:19" x14ac:dyDescent="0.25">
      <c r="A157" t="s">
        <v>999</v>
      </c>
      <c r="B157" t="s">
        <v>112</v>
      </c>
      <c r="C157" s="8" t="s">
        <v>35</v>
      </c>
      <c r="D157" s="8" t="str">
        <f>_xlfn.XLOOKUP(B157,Clientes!A:A,Clientes!G:G,"No encontrado",0)</f>
        <v>AG05</v>
      </c>
      <c r="E157" s="9">
        <v>46214</v>
      </c>
      <c r="F157" s="11">
        <v>62617</v>
      </c>
      <c r="G157" s="10">
        <v>0.30446224956383539</v>
      </c>
      <c r="H157" s="10">
        <f t="shared" si="14"/>
        <v>2.2396356075546686E-2</v>
      </c>
      <c r="I157">
        <v>45</v>
      </c>
      <c r="J157" s="12">
        <f t="shared" si="15"/>
        <v>2222.8079390639423</v>
      </c>
      <c r="K157">
        <f t="shared" ca="1" si="16"/>
        <v>1</v>
      </c>
      <c r="L157">
        <f ca="1">MIN(DATEDIF(Tabla1[[#This Row],[FechaDesembolso]],TODAY(),"m"),Tabla1[[#This Row],[Plazos (Meses)]])</f>
        <v>1</v>
      </c>
      <c r="M157">
        <f t="shared" ca="1" si="17"/>
        <v>44</v>
      </c>
      <c r="N157" s="8" t="s">
        <v>1251</v>
      </c>
      <c r="O157" s="8"/>
      <c r="P157" s="13">
        <f t="shared" ca="1" si="19"/>
        <v>62617.000000000029</v>
      </c>
      <c r="Q15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831.31905017505346</v>
      </c>
      <c r="R157" s="8" t="str">
        <f t="shared" ca="1" si="18"/>
        <v>Vigente</v>
      </c>
      <c r="S157" t="str">
        <f ca="1">IF(Tabla1[[#This Row],[En Mora]]="No","",DATEDIF((EDATE(Tabla1[[#This Row],[FechaDesembolso]],Tabla1[[#This Row],[Mes de Mora]])),TODAY(),"d"))</f>
        <v/>
      </c>
    </row>
    <row r="158" spans="1:19" x14ac:dyDescent="0.25">
      <c r="A158" t="s">
        <v>1000</v>
      </c>
      <c r="B158" t="s">
        <v>176</v>
      </c>
      <c r="C158" s="8" t="s">
        <v>37</v>
      </c>
      <c r="D158" s="8" t="str">
        <f>_xlfn.XLOOKUP(B158,Clientes!A:A,Clientes!G:G,"No encontrado",0)</f>
        <v>AG01</v>
      </c>
      <c r="E158" s="9">
        <v>45336</v>
      </c>
      <c r="F158" s="11">
        <v>184789</v>
      </c>
      <c r="G158" s="10">
        <v>0.12045087068449299</v>
      </c>
      <c r="H158" s="10">
        <f t="shared" si="14"/>
        <v>9.5226519335409598E-3</v>
      </c>
      <c r="I158">
        <v>240</v>
      </c>
      <c r="J158" s="12">
        <f t="shared" si="15"/>
        <v>1961.3812090084632</v>
      </c>
      <c r="K158">
        <f t="shared" ca="1" si="16"/>
        <v>27</v>
      </c>
      <c r="L158">
        <f ca="1">MIN(DATEDIF(Tabla1[[#This Row],[FechaDesembolso]],TODAY(),"m"),Tabla1[[#This Row],[Plazos (Meses)]])</f>
        <v>29</v>
      </c>
      <c r="M158">
        <f t="shared" ca="1" si="17"/>
        <v>213</v>
      </c>
      <c r="N158" s="8" t="s">
        <v>1252</v>
      </c>
      <c r="O158" s="8">
        <v>27</v>
      </c>
      <c r="P158" s="13">
        <f t="shared" ca="1" si="19"/>
        <v>184788.99999999991</v>
      </c>
      <c r="Q15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32168.530143228505</v>
      </c>
      <c r="R158" s="8" t="str">
        <f t="shared" si="18"/>
        <v>En mora</v>
      </c>
      <c r="S158">
        <f ca="1">IF(Tabla1[[#This Row],[En Mora]]="No","",DATEDIF((EDATE(Tabla1[[#This Row],[FechaDesembolso]],Tabla1[[#This Row],[Mes de Mora]])),TODAY(),"d"))</f>
        <v>90</v>
      </c>
    </row>
    <row r="159" spans="1:19" x14ac:dyDescent="0.25">
      <c r="A159" t="s">
        <v>1001</v>
      </c>
      <c r="B159" t="s">
        <v>426</v>
      </c>
      <c r="C159" s="8" t="s">
        <v>35</v>
      </c>
      <c r="D159" s="8" t="str">
        <f>_xlfn.XLOOKUP(B159,Clientes!A:A,Clientes!G:G,"No encontrado",0)</f>
        <v>AG05</v>
      </c>
      <c r="E159" s="9">
        <v>45313</v>
      </c>
      <c r="F159" s="11">
        <v>53263</v>
      </c>
      <c r="G159" s="10">
        <v>0.30844354885073771</v>
      </c>
      <c r="H159" s="10">
        <f t="shared" si="14"/>
        <v>2.2656027761747799E-2</v>
      </c>
      <c r="I159">
        <v>22</v>
      </c>
      <c r="J159" s="12">
        <f t="shared" si="15"/>
        <v>3101.0965367301724</v>
      </c>
      <c r="K159">
        <f t="shared" ca="1" si="16"/>
        <v>22</v>
      </c>
      <c r="L159">
        <f ca="1">MIN(DATEDIF(Tabla1[[#This Row],[FechaDesembolso]],TODAY(),"m"),Tabla1[[#This Row],[Plazos (Meses)]])</f>
        <v>22</v>
      </c>
      <c r="M159">
        <f t="shared" ca="1" si="17"/>
        <v>0</v>
      </c>
      <c r="N159" s="8" t="s">
        <v>1251</v>
      </c>
      <c r="O159" s="8" t="s">
        <v>1253</v>
      </c>
      <c r="P159" s="13">
        <f t="shared" ca="1" si="19"/>
        <v>0</v>
      </c>
      <c r="Q15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59" s="8" t="str">
        <f t="shared" ca="1" si="18"/>
        <v>Cancelado</v>
      </c>
      <c r="S159" t="str">
        <f ca="1">IF(Tabla1[[#This Row],[En Mora]]="No","",DATEDIF((EDATE(Tabla1[[#This Row],[FechaDesembolso]],Tabla1[[#This Row],[Mes de Mora]])),TODAY(),"d"))</f>
        <v/>
      </c>
    </row>
    <row r="160" spans="1:19" x14ac:dyDescent="0.25">
      <c r="A160" t="s">
        <v>1002</v>
      </c>
      <c r="B160" t="s">
        <v>594</v>
      </c>
      <c r="C160" s="8" t="s">
        <v>31</v>
      </c>
      <c r="D160" s="8" t="str">
        <f>_xlfn.XLOOKUP(B160,Clientes!A:A,Clientes!G:G,"No encontrado",0)</f>
        <v>AG04</v>
      </c>
      <c r="E160" s="9">
        <v>45743</v>
      </c>
      <c r="F160" s="11">
        <v>3880</v>
      </c>
      <c r="G160" s="10">
        <v>0.50417281347674625</v>
      </c>
      <c r="H160" s="10">
        <f t="shared" si="14"/>
        <v>3.4605567754294908E-2</v>
      </c>
      <c r="I160">
        <v>26</v>
      </c>
      <c r="J160" s="12">
        <f t="shared" si="15"/>
        <v>228.70342814082517</v>
      </c>
      <c r="K160">
        <f t="shared" ca="1" si="16"/>
        <v>16</v>
      </c>
      <c r="L160">
        <f ca="1">MIN(DATEDIF(Tabla1[[#This Row],[FechaDesembolso]],TODAY(),"m"),Tabla1[[#This Row],[Plazos (Meses)]])</f>
        <v>16</v>
      </c>
      <c r="M160">
        <f t="shared" ca="1" si="17"/>
        <v>10</v>
      </c>
      <c r="N160" s="8" t="s">
        <v>1251</v>
      </c>
      <c r="O160" s="8" t="s">
        <v>1253</v>
      </c>
      <c r="P160" s="13">
        <f t="shared" ca="1" si="19"/>
        <v>3880.0000000000009</v>
      </c>
      <c r="Q16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1271.5625425608948</v>
      </c>
      <c r="R160" s="8" t="str">
        <f t="shared" ca="1" si="18"/>
        <v>Vigente</v>
      </c>
      <c r="S160" t="str">
        <f ca="1">IF(Tabla1[[#This Row],[En Mora]]="No","",DATEDIF((EDATE(Tabla1[[#This Row],[FechaDesembolso]],Tabla1[[#This Row],[Mes de Mora]])),TODAY(),"d"))</f>
        <v/>
      </c>
    </row>
    <row r="161" spans="1:19" x14ac:dyDescent="0.25">
      <c r="A161" t="s">
        <v>1003</v>
      </c>
      <c r="B161" t="s">
        <v>802</v>
      </c>
      <c r="C161" s="8" t="s">
        <v>35</v>
      </c>
      <c r="D161" s="8" t="str">
        <f>_xlfn.XLOOKUP(B161,Clientes!A:A,Clientes!G:G,"No encontrado",0)</f>
        <v>AG06</v>
      </c>
      <c r="E161" s="9">
        <v>46039</v>
      </c>
      <c r="F161" s="11">
        <v>27725</v>
      </c>
      <c r="G161" s="10">
        <v>0.28920623130620976</v>
      </c>
      <c r="H161" s="10">
        <f t="shared" si="14"/>
        <v>2.1394542473336164E-2</v>
      </c>
      <c r="I161">
        <v>38</v>
      </c>
      <c r="J161" s="12">
        <f t="shared" si="15"/>
        <v>1073.304651122924</v>
      </c>
      <c r="K161">
        <f t="shared" ca="1" si="16"/>
        <v>2</v>
      </c>
      <c r="L161">
        <f ca="1">MIN(DATEDIF(Tabla1[[#This Row],[FechaDesembolso]],TODAY(),"m"),Tabla1[[#This Row],[Plazos (Meses)]])</f>
        <v>6</v>
      </c>
      <c r="M161">
        <f t="shared" ca="1" si="17"/>
        <v>36</v>
      </c>
      <c r="N161" s="8" t="s">
        <v>1252</v>
      </c>
      <c r="O161" s="8">
        <v>2</v>
      </c>
      <c r="P161" s="13">
        <f t="shared" ca="1" si="19"/>
        <v>27724.999999999982</v>
      </c>
      <c r="Q16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687.39877593005838</v>
      </c>
      <c r="R161" s="8" t="str">
        <f t="shared" si="18"/>
        <v>En mora</v>
      </c>
      <c r="S161">
        <f ca="1">IF(Tabla1[[#This Row],[En Mora]]="No","",DATEDIF((EDATE(Tabla1[[#This Row],[FechaDesembolso]],Tabla1[[#This Row],[Mes de Mora]])),TODAY(),"d"))</f>
        <v>148</v>
      </c>
    </row>
    <row r="162" spans="1:19" x14ac:dyDescent="0.25">
      <c r="A162" t="s">
        <v>1004</v>
      </c>
      <c r="B162" t="s">
        <v>834</v>
      </c>
      <c r="C162" s="8" t="s">
        <v>33</v>
      </c>
      <c r="D162" s="8" t="str">
        <f>_xlfn.XLOOKUP(B162,Clientes!A:A,Clientes!G:G,"No encontrado",0)</f>
        <v>AG04</v>
      </c>
      <c r="E162" s="9">
        <v>45840</v>
      </c>
      <c r="F162" s="11">
        <v>49006</v>
      </c>
      <c r="G162" s="10">
        <v>0.26710312721973928</v>
      </c>
      <c r="H162" s="10">
        <f t="shared" si="14"/>
        <v>1.9923652906141953E-2</v>
      </c>
      <c r="I162">
        <v>26</v>
      </c>
      <c r="J162" s="12">
        <f t="shared" si="15"/>
        <v>2433.3021854945187</v>
      </c>
      <c r="K162">
        <f t="shared" ca="1" si="16"/>
        <v>13</v>
      </c>
      <c r="L162">
        <f ca="1">MIN(DATEDIF(Tabla1[[#This Row],[FechaDesembolso]],TODAY(),"m"),Tabla1[[#This Row],[Plazos (Meses)]])</f>
        <v>13</v>
      </c>
      <c r="M162">
        <f t="shared" ca="1" si="17"/>
        <v>13</v>
      </c>
      <c r="N162" s="8" t="s">
        <v>1251</v>
      </c>
      <c r="O162" s="8" t="s">
        <v>1253</v>
      </c>
      <c r="P162" s="13">
        <f t="shared" ca="1" si="19"/>
        <v>49005.999999999927</v>
      </c>
      <c r="Q16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7129.9284114287439</v>
      </c>
      <c r="R162" s="8" t="str">
        <f t="shared" ca="1" si="18"/>
        <v>Vigente</v>
      </c>
      <c r="S162" t="str">
        <f ca="1">IF(Tabla1[[#This Row],[En Mora]]="No","",DATEDIF((EDATE(Tabla1[[#This Row],[FechaDesembolso]],Tabla1[[#This Row],[Mes de Mora]])),TODAY(),"d"))</f>
        <v/>
      </c>
    </row>
    <row r="163" spans="1:19" x14ac:dyDescent="0.25">
      <c r="A163" t="s">
        <v>1005</v>
      </c>
      <c r="B163" t="s">
        <v>130</v>
      </c>
      <c r="C163" s="8" t="s">
        <v>37</v>
      </c>
      <c r="D163" s="8" t="str">
        <f>_xlfn.XLOOKUP(B163,Clientes!A:A,Clientes!G:G,"No encontrado",0)</f>
        <v>AG04</v>
      </c>
      <c r="E163" s="9">
        <v>45974</v>
      </c>
      <c r="F163" s="11">
        <v>261010</v>
      </c>
      <c r="G163" s="10">
        <v>0.11690343726140945</v>
      </c>
      <c r="H163" s="10">
        <f t="shared" si="14"/>
        <v>9.2559124603728282E-3</v>
      </c>
      <c r="I163">
        <v>214</v>
      </c>
      <c r="J163" s="12">
        <f t="shared" si="15"/>
        <v>2806.6444603284303</v>
      </c>
      <c r="K163">
        <f t="shared" ca="1" si="16"/>
        <v>8</v>
      </c>
      <c r="L163">
        <f ca="1">MIN(DATEDIF(Tabla1[[#This Row],[FechaDesembolso]],TODAY(),"m"),Tabla1[[#This Row],[Plazos (Meses)]])</f>
        <v>8</v>
      </c>
      <c r="M163">
        <f t="shared" ca="1" si="17"/>
        <v>206</v>
      </c>
      <c r="N163" s="8" t="s">
        <v>1251</v>
      </c>
      <c r="O163" s="8" t="s">
        <v>1253</v>
      </c>
      <c r="P163" s="13">
        <f t="shared" ca="1" si="19"/>
        <v>261009.99999999968</v>
      </c>
      <c r="Q16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12695.772505057348</v>
      </c>
      <c r="R163" s="8" t="str">
        <f t="shared" ca="1" si="18"/>
        <v>Vigente</v>
      </c>
      <c r="S163" t="str">
        <f ca="1">IF(Tabla1[[#This Row],[En Mora]]="No","",DATEDIF((EDATE(Tabla1[[#This Row],[FechaDesembolso]],Tabla1[[#This Row],[Mes de Mora]])),TODAY(),"d"))</f>
        <v/>
      </c>
    </row>
    <row r="164" spans="1:19" x14ac:dyDescent="0.25">
      <c r="A164" t="s">
        <v>1006</v>
      </c>
      <c r="B164" t="s">
        <v>276</v>
      </c>
      <c r="C164" s="8" t="s">
        <v>31</v>
      </c>
      <c r="D164" s="8" t="str">
        <f>_xlfn.XLOOKUP(B164,Clientes!A:A,Clientes!G:G,"No encontrado",0)</f>
        <v>AG04</v>
      </c>
      <c r="E164" s="9">
        <v>46218</v>
      </c>
      <c r="F164" s="11">
        <v>663</v>
      </c>
      <c r="G164" s="10">
        <v>0.49404911496594772</v>
      </c>
      <c r="H164" s="10">
        <f t="shared" si="14"/>
        <v>3.4023493431510676E-2</v>
      </c>
      <c r="I164">
        <v>30</v>
      </c>
      <c r="J164" s="12">
        <f t="shared" si="15"/>
        <v>35.608511252856417</v>
      </c>
      <c r="K164">
        <f t="shared" ca="1" si="16"/>
        <v>0</v>
      </c>
      <c r="L164">
        <f ca="1">MIN(DATEDIF(Tabla1[[#This Row],[FechaDesembolso]],TODAY(),"m"),Tabla1[[#This Row],[Plazos (Meses)]])</f>
        <v>0</v>
      </c>
      <c r="M164">
        <f t="shared" ca="1" si="17"/>
        <v>30</v>
      </c>
      <c r="N164" s="8" t="s">
        <v>1251</v>
      </c>
      <c r="O164" s="8" t="s">
        <v>1253</v>
      </c>
      <c r="P164" s="13">
        <f t="shared" ca="1" si="19"/>
        <v>663.00000000000034</v>
      </c>
      <c r="Q16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64" s="8" t="str">
        <f t="shared" ca="1" si="18"/>
        <v>Vigente</v>
      </c>
      <c r="S164" t="str">
        <f ca="1">IF(Tabla1[[#This Row],[En Mora]]="No","",DATEDIF((EDATE(Tabla1[[#This Row],[FechaDesembolso]],Tabla1[[#This Row],[Mes de Mora]])),TODAY(),"d"))</f>
        <v/>
      </c>
    </row>
    <row r="165" spans="1:19" x14ac:dyDescent="0.25">
      <c r="A165" t="s">
        <v>1007</v>
      </c>
      <c r="B165" t="s">
        <v>438</v>
      </c>
      <c r="C165" s="8" t="s">
        <v>37</v>
      </c>
      <c r="D165" s="8" t="str">
        <f>_xlfn.XLOOKUP(B165,Clientes!A:A,Clientes!G:G,"No encontrado",0)</f>
        <v>AG02</v>
      </c>
      <c r="E165" s="9">
        <v>45860</v>
      </c>
      <c r="F165" s="11">
        <v>139216</v>
      </c>
      <c r="G165" s="10">
        <v>9.2905501437782728E-2</v>
      </c>
      <c r="H165" s="10">
        <f t="shared" si="14"/>
        <v>7.4307845603343026E-3</v>
      </c>
      <c r="I165">
        <v>143</v>
      </c>
      <c r="J165" s="12">
        <f t="shared" si="15"/>
        <v>1583.9976542300108</v>
      </c>
      <c r="K165">
        <f t="shared" ca="1" si="16"/>
        <v>11</v>
      </c>
      <c r="L165">
        <f ca="1">MIN(DATEDIF(Tabla1[[#This Row],[FechaDesembolso]],TODAY(),"m"),Tabla1[[#This Row],[Plazos (Meses)]])</f>
        <v>12</v>
      </c>
      <c r="M165">
        <f t="shared" ca="1" si="17"/>
        <v>132</v>
      </c>
      <c r="N165" s="8" t="s">
        <v>1252</v>
      </c>
      <c r="O165" s="8">
        <v>11</v>
      </c>
      <c r="P165" s="13">
        <f t="shared" ca="1" si="19"/>
        <v>139215.99999999991</v>
      </c>
      <c r="Q16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6715.0511196070411</v>
      </c>
      <c r="R165" s="8" t="str">
        <f t="shared" si="18"/>
        <v>En mora</v>
      </c>
      <c r="S165">
        <f ca="1">IF(Tabla1[[#This Row],[En Mora]]="No","",DATEDIF((EDATE(Tabla1[[#This Row],[FechaDesembolso]],Tabla1[[#This Row],[Mes de Mora]])),TODAY(),"d"))</f>
        <v>51</v>
      </c>
    </row>
    <row r="166" spans="1:19" x14ac:dyDescent="0.25">
      <c r="A166" t="s">
        <v>1008</v>
      </c>
      <c r="B166" t="s">
        <v>85</v>
      </c>
      <c r="C166" s="8" t="s">
        <v>31</v>
      </c>
      <c r="D166" s="8" t="str">
        <f>_xlfn.XLOOKUP(B166,Clientes!A:A,Clientes!G:G,"No encontrado",0)</f>
        <v>AG04</v>
      </c>
      <c r="E166" s="9">
        <v>45751</v>
      </c>
      <c r="F166" s="11">
        <v>8717</v>
      </c>
      <c r="G166" s="10">
        <v>0.35331941639607367</v>
      </c>
      <c r="H166" s="10">
        <f t="shared" si="14"/>
        <v>2.5533912057735364E-2</v>
      </c>
      <c r="I166">
        <v>35</v>
      </c>
      <c r="J166" s="12">
        <f t="shared" si="15"/>
        <v>379.67269861024351</v>
      </c>
      <c r="K166">
        <f t="shared" ca="1" si="16"/>
        <v>16</v>
      </c>
      <c r="L166">
        <f ca="1">MIN(DATEDIF(Tabla1[[#This Row],[FechaDesembolso]],TODAY(),"m"),Tabla1[[#This Row],[Plazos (Meses)]])</f>
        <v>16</v>
      </c>
      <c r="M166">
        <f t="shared" ca="1" si="17"/>
        <v>19</v>
      </c>
      <c r="N166" s="8" t="s">
        <v>1251</v>
      </c>
      <c r="O166" s="8" t="s">
        <v>1253</v>
      </c>
      <c r="P166" s="13">
        <f t="shared" ca="1" si="19"/>
        <v>8716.9999999999964</v>
      </c>
      <c r="Q16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2089.8488920496102</v>
      </c>
      <c r="R166" s="8" t="str">
        <f t="shared" ca="1" si="18"/>
        <v>Vigente</v>
      </c>
      <c r="S166" t="str">
        <f ca="1">IF(Tabla1[[#This Row],[En Mora]]="No","",DATEDIF((EDATE(Tabla1[[#This Row],[FechaDesembolso]],Tabla1[[#This Row],[Mes de Mora]])),TODAY(),"d"))</f>
        <v/>
      </c>
    </row>
    <row r="167" spans="1:19" x14ac:dyDescent="0.25">
      <c r="A167" t="s">
        <v>1009</v>
      </c>
      <c r="B167" t="s">
        <v>807</v>
      </c>
      <c r="C167" s="8" t="s">
        <v>37</v>
      </c>
      <c r="D167" s="8" t="str">
        <f>_xlfn.XLOOKUP(B167,Clientes!A:A,Clientes!G:G,"No encontrado",0)</f>
        <v>AG08</v>
      </c>
      <c r="E167" s="9">
        <v>45933</v>
      </c>
      <c r="F167" s="11">
        <v>220697</v>
      </c>
      <c r="G167" s="10">
        <v>0.13236307622592747</v>
      </c>
      <c r="H167" s="10">
        <f t="shared" si="14"/>
        <v>1.0412727956020662E-2</v>
      </c>
      <c r="I167">
        <v>206</v>
      </c>
      <c r="J167" s="12">
        <f t="shared" si="15"/>
        <v>2606.6043034102618</v>
      </c>
      <c r="K167">
        <f t="shared" ca="1" si="16"/>
        <v>5</v>
      </c>
      <c r="L167">
        <f ca="1">MIN(DATEDIF(Tabla1[[#This Row],[FechaDesembolso]],TODAY(),"m"),Tabla1[[#This Row],[Plazos (Meses)]])</f>
        <v>10</v>
      </c>
      <c r="M167">
        <f t="shared" ca="1" si="17"/>
        <v>201</v>
      </c>
      <c r="N167" s="8" t="s">
        <v>1252</v>
      </c>
      <c r="O167" s="8">
        <v>5</v>
      </c>
      <c r="P167" s="13">
        <f t="shared" ca="1" si="19"/>
        <v>220697.00000000017</v>
      </c>
      <c r="Q16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7676.298216080434</v>
      </c>
      <c r="R167" s="8" t="str">
        <f t="shared" si="18"/>
        <v>En mora</v>
      </c>
      <c r="S167">
        <f ca="1">IF(Tabla1[[#This Row],[En Mora]]="No","",DATEDIF((EDATE(Tabla1[[#This Row],[FechaDesembolso]],Tabla1[[#This Row],[Mes de Mora]])),TODAY(),"d"))</f>
        <v>162</v>
      </c>
    </row>
    <row r="168" spans="1:19" x14ac:dyDescent="0.25">
      <c r="A168" t="s">
        <v>1010</v>
      </c>
      <c r="B168" t="s">
        <v>489</v>
      </c>
      <c r="C168" s="8" t="s">
        <v>31</v>
      </c>
      <c r="D168" s="8" t="str">
        <f>_xlfn.XLOOKUP(B168,Clientes!A:A,Clientes!G:G,"No encontrado",0)</f>
        <v>AG04</v>
      </c>
      <c r="E168" s="9">
        <v>46186</v>
      </c>
      <c r="F168" s="11">
        <v>14445</v>
      </c>
      <c r="G168" s="10">
        <v>0.45022002993955695</v>
      </c>
      <c r="H168" s="10">
        <f t="shared" si="14"/>
        <v>3.1461031298444686E-2</v>
      </c>
      <c r="I168">
        <v>6</v>
      </c>
      <c r="J168" s="12">
        <f t="shared" si="15"/>
        <v>2679.4376060521217</v>
      </c>
      <c r="K168">
        <f t="shared" ca="1" si="16"/>
        <v>1</v>
      </c>
      <c r="L168">
        <f ca="1">MIN(DATEDIF(Tabla1[[#This Row],[FechaDesembolso]],TODAY(),"m"),Tabla1[[#This Row],[Plazos (Meses)]])</f>
        <v>1</v>
      </c>
      <c r="M168">
        <f t="shared" ca="1" si="17"/>
        <v>5</v>
      </c>
      <c r="N168" s="8" t="s">
        <v>1251</v>
      </c>
      <c r="O168" s="8" t="s">
        <v>1253</v>
      </c>
      <c r="P168" s="13">
        <f t="shared" ca="1" si="19"/>
        <v>14445.000000000022</v>
      </c>
      <c r="Q16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271.93760605212174</v>
      </c>
      <c r="R168" s="8" t="str">
        <f t="shared" ca="1" si="18"/>
        <v>Vigente</v>
      </c>
      <c r="S168" t="str">
        <f ca="1">IF(Tabla1[[#This Row],[En Mora]]="No","",DATEDIF((EDATE(Tabla1[[#This Row],[FechaDesembolso]],Tabla1[[#This Row],[Mes de Mora]])),TODAY(),"d"))</f>
        <v/>
      </c>
    </row>
    <row r="169" spans="1:19" x14ac:dyDescent="0.25">
      <c r="A169" t="s">
        <v>1011</v>
      </c>
      <c r="B169" t="s">
        <v>195</v>
      </c>
      <c r="C169" s="8" t="s">
        <v>33</v>
      </c>
      <c r="D169" s="8" t="str">
        <f>_xlfn.XLOOKUP(B169,Clientes!A:A,Clientes!G:G,"No encontrado",0)</f>
        <v>AG03</v>
      </c>
      <c r="E169" s="9">
        <v>46153</v>
      </c>
      <c r="F169" s="11">
        <v>48818</v>
      </c>
      <c r="G169" s="10">
        <v>0.38434481441377999</v>
      </c>
      <c r="H169" s="10">
        <f t="shared" si="14"/>
        <v>2.7472853882918979E-2</v>
      </c>
      <c r="I169">
        <v>18</v>
      </c>
      <c r="J169" s="12">
        <f t="shared" si="15"/>
        <v>3474.0904655337949</v>
      </c>
      <c r="K169">
        <f t="shared" ca="1" si="16"/>
        <v>3</v>
      </c>
      <c r="L169">
        <f ca="1">MIN(DATEDIF(Tabla1[[#This Row],[FechaDesembolso]],TODAY(),"m"),Tabla1[[#This Row],[Plazos (Meses)]])</f>
        <v>3</v>
      </c>
      <c r="M169">
        <f t="shared" ca="1" si="17"/>
        <v>15</v>
      </c>
      <c r="N169" s="8" t="s">
        <v>1251</v>
      </c>
      <c r="O169" s="8" t="s">
        <v>1253</v>
      </c>
      <c r="P169" s="13">
        <f t="shared" ca="1" si="19"/>
        <v>48818.000000000036</v>
      </c>
      <c r="Q16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2285.9380632680513</v>
      </c>
      <c r="R169" s="8" t="str">
        <f t="shared" ca="1" si="18"/>
        <v>Vigente</v>
      </c>
      <c r="S169" t="str">
        <f ca="1">IF(Tabla1[[#This Row],[En Mora]]="No","",DATEDIF((EDATE(Tabla1[[#This Row],[FechaDesembolso]],Tabla1[[#This Row],[Mes de Mora]])),TODAY(),"d"))</f>
        <v/>
      </c>
    </row>
    <row r="170" spans="1:19" x14ac:dyDescent="0.25">
      <c r="A170" t="s">
        <v>1012</v>
      </c>
      <c r="B170" t="s">
        <v>540</v>
      </c>
      <c r="C170" s="8" t="s">
        <v>33</v>
      </c>
      <c r="D170" s="8" t="str">
        <f>_xlfn.XLOOKUP(B170,Clientes!A:A,Clientes!G:G,"No encontrado",0)</f>
        <v>AG05</v>
      </c>
      <c r="E170" s="9">
        <v>45065</v>
      </c>
      <c r="F170" s="11">
        <v>7838</v>
      </c>
      <c r="G170" s="10">
        <v>0.28709581295820802</v>
      </c>
      <c r="H170" s="10">
        <f t="shared" si="14"/>
        <v>2.1255103393126973E-2</v>
      </c>
      <c r="I170">
        <v>16</v>
      </c>
      <c r="J170" s="12">
        <f t="shared" si="15"/>
        <v>583.02479755547881</v>
      </c>
      <c r="K170">
        <f t="shared" ca="1" si="16"/>
        <v>16</v>
      </c>
      <c r="L170">
        <f ca="1">MIN(DATEDIF(Tabla1[[#This Row],[FechaDesembolso]],TODAY(),"m"),Tabla1[[#This Row],[Plazos (Meses)]])</f>
        <v>16</v>
      </c>
      <c r="M170">
        <f t="shared" ca="1" si="17"/>
        <v>0</v>
      </c>
      <c r="N170" s="8" t="s">
        <v>1251</v>
      </c>
      <c r="O170" s="8" t="s">
        <v>1253</v>
      </c>
      <c r="P170" s="13">
        <f t="shared" ca="1" si="19"/>
        <v>0</v>
      </c>
      <c r="Q17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70" s="8" t="str">
        <f t="shared" ca="1" si="18"/>
        <v>Cancelado</v>
      </c>
      <c r="S170" t="str">
        <f ca="1">IF(Tabla1[[#This Row],[En Mora]]="No","",DATEDIF((EDATE(Tabla1[[#This Row],[FechaDesembolso]],Tabla1[[#This Row],[Mes de Mora]])),TODAY(),"d"))</f>
        <v/>
      </c>
    </row>
    <row r="171" spans="1:19" x14ac:dyDescent="0.25">
      <c r="A171" t="s">
        <v>1013</v>
      </c>
      <c r="B171" t="s">
        <v>297</v>
      </c>
      <c r="C171" s="8" t="s">
        <v>31</v>
      </c>
      <c r="D171" s="8" t="str">
        <f>_xlfn.XLOOKUP(B171,Clientes!A:A,Clientes!G:G,"No encontrado",0)</f>
        <v>AG03</v>
      </c>
      <c r="E171" s="9">
        <v>46079</v>
      </c>
      <c r="F171" s="11">
        <v>9271</v>
      </c>
      <c r="G171" s="10">
        <v>0.5192048675619908</v>
      </c>
      <c r="H171" s="10">
        <f t="shared" si="14"/>
        <v>3.5463263035860892E-2</v>
      </c>
      <c r="I171">
        <v>20</v>
      </c>
      <c r="J171" s="12">
        <f t="shared" si="15"/>
        <v>655.05491703067548</v>
      </c>
      <c r="K171">
        <f t="shared" ca="1" si="16"/>
        <v>5</v>
      </c>
      <c r="L171">
        <f ca="1">MIN(DATEDIF(Tabla1[[#This Row],[FechaDesembolso]],TODAY(),"m"),Tabla1[[#This Row],[Plazos (Meses)]])</f>
        <v>5</v>
      </c>
      <c r="M171">
        <f t="shared" ca="1" si="17"/>
        <v>15</v>
      </c>
      <c r="N171" s="8" t="s">
        <v>1251</v>
      </c>
      <c r="O171" s="8" t="s">
        <v>1253</v>
      </c>
      <c r="P171" s="13">
        <f t="shared" ca="1" si="19"/>
        <v>9271.0000000000073</v>
      </c>
      <c r="Q17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957.5245851533773</v>
      </c>
      <c r="R171" s="8" t="str">
        <f t="shared" ca="1" si="18"/>
        <v>Vigente</v>
      </c>
      <c r="S171" t="str">
        <f ca="1">IF(Tabla1[[#This Row],[En Mora]]="No","",DATEDIF((EDATE(Tabla1[[#This Row],[FechaDesembolso]],Tabla1[[#This Row],[Mes de Mora]])),TODAY(),"d"))</f>
        <v/>
      </c>
    </row>
    <row r="172" spans="1:19" x14ac:dyDescent="0.25">
      <c r="A172" t="s">
        <v>1014</v>
      </c>
      <c r="B172" t="s">
        <v>404</v>
      </c>
      <c r="C172" s="8" t="s">
        <v>37</v>
      </c>
      <c r="D172" s="8" t="str">
        <f>_xlfn.XLOOKUP(B172,Clientes!A:A,Clientes!G:G,"No encontrado",0)</f>
        <v>AG08</v>
      </c>
      <c r="E172" s="9">
        <v>45608</v>
      </c>
      <c r="F172" s="11">
        <v>60334</v>
      </c>
      <c r="G172" s="10">
        <v>0.10570262154970013</v>
      </c>
      <c r="H172" s="10">
        <f t="shared" si="14"/>
        <v>8.4085708923156144E-3</v>
      </c>
      <c r="I172">
        <v>78</v>
      </c>
      <c r="J172" s="12">
        <f t="shared" si="15"/>
        <v>1057.8395273851304</v>
      </c>
      <c r="K172">
        <f t="shared" ca="1" si="16"/>
        <v>21</v>
      </c>
      <c r="L172">
        <f ca="1">MIN(DATEDIF(Tabla1[[#This Row],[FechaDesembolso]],TODAY(),"m"),Tabla1[[#This Row],[Plazos (Meses)]])</f>
        <v>21</v>
      </c>
      <c r="M172">
        <f t="shared" ca="1" si="17"/>
        <v>57</v>
      </c>
      <c r="N172" s="8" t="s">
        <v>1251</v>
      </c>
      <c r="O172" s="8" t="s">
        <v>1253</v>
      </c>
      <c r="P172" s="13">
        <f t="shared" ca="1" si="19"/>
        <v>60334.000000000327</v>
      </c>
      <c r="Q17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5970.8608443185076</v>
      </c>
      <c r="R172" s="8" t="str">
        <f t="shared" ca="1" si="18"/>
        <v>Vigente</v>
      </c>
      <c r="S172" t="str">
        <f ca="1">IF(Tabla1[[#This Row],[En Mora]]="No","",DATEDIF((EDATE(Tabla1[[#This Row],[FechaDesembolso]],Tabla1[[#This Row],[Mes de Mora]])),TODAY(),"d"))</f>
        <v/>
      </c>
    </row>
    <row r="173" spans="1:19" x14ac:dyDescent="0.25">
      <c r="A173" t="s">
        <v>1015</v>
      </c>
      <c r="B173" t="s">
        <v>669</v>
      </c>
      <c r="C173" s="8" t="s">
        <v>35</v>
      </c>
      <c r="D173" s="8" t="str">
        <f>_xlfn.XLOOKUP(B173,Clientes!A:A,Clientes!G:G,"No encontrado",0)</f>
        <v>AG08</v>
      </c>
      <c r="E173" s="9">
        <v>46118</v>
      </c>
      <c r="F173" s="11">
        <v>15472</v>
      </c>
      <c r="G173" s="10">
        <v>0.34797501235640649</v>
      </c>
      <c r="H173" s="10">
        <f t="shared" si="14"/>
        <v>2.5195804326100468E-2</v>
      </c>
      <c r="I173">
        <v>32</v>
      </c>
      <c r="J173" s="12">
        <f t="shared" si="15"/>
        <v>710.07892359352115</v>
      </c>
      <c r="K173">
        <f t="shared" ca="1" si="16"/>
        <v>4</v>
      </c>
      <c r="L173">
        <f ca="1">MIN(DATEDIF(Tabla1[[#This Row],[FechaDesembolso]],TODAY(),"m"),Tabla1[[#This Row],[Plazos (Meses)]])</f>
        <v>4</v>
      </c>
      <c r="M173">
        <f t="shared" ca="1" si="17"/>
        <v>28</v>
      </c>
      <c r="N173" s="8" t="s">
        <v>1251</v>
      </c>
      <c r="O173" s="8" t="s">
        <v>1253</v>
      </c>
      <c r="P173" s="13">
        <f t="shared" ca="1" si="19"/>
        <v>15472.000000000022</v>
      </c>
      <c r="Q17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906.31569437408461</v>
      </c>
      <c r="R173" s="8" t="str">
        <f t="shared" ca="1" si="18"/>
        <v>Vigente</v>
      </c>
      <c r="S173" t="str">
        <f ca="1">IF(Tabla1[[#This Row],[En Mora]]="No","",DATEDIF((EDATE(Tabla1[[#This Row],[FechaDesembolso]],Tabla1[[#This Row],[Mes de Mora]])),TODAY(),"d"))</f>
        <v/>
      </c>
    </row>
    <row r="174" spans="1:19" x14ac:dyDescent="0.25">
      <c r="A174" t="s">
        <v>1016</v>
      </c>
      <c r="B174" t="s">
        <v>176</v>
      </c>
      <c r="C174" s="8" t="s">
        <v>35</v>
      </c>
      <c r="D174" s="8" t="str">
        <f>_xlfn.XLOOKUP(B174,Clientes!A:A,Clientes!G:G,"No encontrado",0)</f>
        <v>AG01</v>
      </c>
      <c r="E174" s="9">
        <v>44566</v>
      </c>
      <c r="F174" s="11">
        <v>72780</v>
      </c>
      <c r="G174" s="10">
        <v>0.22283018765989582</v>
      </c>
      <c r="H174" s="10">
        <f t="shared" si="14"/>
        <v>1.6905304187490477E-2</v>
      </c>
      <c r="I174">
        <v>50</v>
      </c>
      <c r="J174" s="12">
        <f t="shared" si="15"/>
        <v>2168.0047319836267</v>
      </c>
      <c r="K174">
        <f t="shared" ca="1" si="16"/>
        <v>50</v>
      </c>
      <c r="L174">
        <f ca="1">MIN(DATEDIF(Tabla1[[#This Row],[FechaDesembolso]],TODAY(),"m"),Tabla1[[#This Row],[Plazos (Meses)]])</f>
        <v>50</v>
      </c>
      <c r="M174">
        <f t="shared" ca="1" si="17"/>
        <v>0</v>
      </c>
      <c r="N174" s="8" t="s">
        <v>1251</v>
      </c>
      <c r="O174" s="8" t="s">
        <v>1253</v>
      </c>
      <c r="P174" s="13">
        <f t="shared" ca="1" si="19"/>
        <v>0</v>
      </c>
      <c r="Q17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74" s="8" t="str">
        <f t="shared" ca="1" si="18"/>
        <v>Cancelado</v>
      </c>
      <c r="S174" t="str">
        <f ca="1">IF(Tabla1[[#This Row],[En Mora]]="No","",DATEDIF((EDATE(Tabla1[[#This Row],[FechaDesembolso]],Tabla1[[#This Row],[Mes de Mora]])),TODAY(),"d"))</f>
        <v/>
      </c>
    </row>
    <row r="175" spans="1:19" x14ac:dyDescent="0.25">
      <c r="A175" t="s">
        <v>1017</v>
      </c>
      <c r="B175" t="s">
        <v>702</v>
      </c>
      <c r="C175" s="8" t="s">
        <v>35</v>
      </c>
      <c r="D175" s="8" t="str">
        <f>_xlfn.XLOOKUP(B175,Clientes!A:A,Clientes!G:G,"No encontrado",0)</f>
        <v>AG07</v>
      </c>
      <c r="E175" s="9">
        <v>46102</v>
      </c>
      <c r="F175" s="11">
        <v>18641</v>
      </c>
      <c r="G175" s="10">
        <v>0.24396574622402628</v>
      </c>
      <c r="H175" s="10">
        <f t="shared" si="14"/>
        <v>1.8358521380085646E-2</v>
      </c>
      <c r="I175">
        <v>18</v>
      </c>
      <c r="J175" s="12">
        <f t="shared" si="15"/>
        <v>1225.5209363902113</v>
      </c>
      <c r="K175">
        <f t="shared" ca="1" si="16"/>
        <v>4</v>
      </c>
      <c r="L175">
        <f ca="1">MIN(DATEDIF(Tabla1[[#This Row],[FechaDesembolso]],TODAY(),"m"),Tabla1[[#This Row],[Plazos (Meses)]])</f>
        <v>4</v>
      </c>
      <c r="M175">
        <f t="shared" ca="1" si="17"/>
        <v>14</v>
      </c>
      <c r="N175" s="8" t="s">
        <v>1251</v>
      </c>
      <c r="O175" s="8" t="s">
        <v>1253</v>
      </c>
      <c r="P175" s="13">
        <f t="shared" ca="1" si="19"/>
        <v>18641.000000000047</v>
      </c>
      <c r="Q17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759.63930111640036</v>
      </c>
      <c r="R175" s="8" t="str">
        <f t="shared" ca="1" si="18"/>
        <v>Vigente</v>
      </c>
      <c r="S175" t="str">
        <f ca="1">IF(Tabla1[[#This Row],[En Mora]]="No","",DATEDIF((EDATE(Tabla1[[#This Row],[FechaDesembolso]],Tabla1[[#This Row],[Mes de Mora]])),TODAY(),"d"))</f>
        <v/>
      </c>
    </row>
    <row r="176" spans="1:19" x14ac:dyDescent="0.25">
      <c r="A176" t="s">
        <v>1018</v>
      </c>
      <c r="B176" t="s">
        <v>317</v>
      </c>
      <c r="C176" s="8" t="s">
        <v>31</v>
      </c>
      <c r="D176" s="8" t="str">
        <f>_xlfn.XLOOKUP(B176,Clientes!A:A,Clientes!G:G,"No encontrado",0)</f>
        <v>AG02</v>
      </c>
      <c r="E176" s="9">
        <v>45743</v>
      </c>
      <c r="F176" s="11">
        <v>3762</v>
      </c>
      <c r="G176" s="10">
        <v>0.35511938238965612</v>
      </c>
      <c r="H176" s="10">
        <f t="shared" si="14"/>
        <v>2.5647509398594615E-2</v>
      </c>
      <c r="I176">
        <v>12</v>
      </c>
      <c r="J176" s="12">
        <f t="shared" si="15"/>
        <v>368.18591391865664</v>
      </c>
      <c r="K176">
        <f t="shared" ca="1" si="16"/>
        <v>12</v>
      </c>
      <c r="L176">
        <f ca="1">MIN(DATEDIF(Tabla1[[#This Row],[FechaDesembolso]],TODAY(),"m"),Tabla1[[#This Row],[Plazos (Meses)]])</f>
        <v>12</v>
      </c>
      <c r="M176">
        <f t="shared" ca="1" si="17"/>
        <v>0</v>
      </c>
      <c r="N176" s="8" t="s">
        <v>1251</v>
      </c>
      <c r="O176" s="8" t="s">
        <v>1253</v>
      </c>
      <c r="P176" s="13">
        <f t="shared" ca="1" si="19"/>
        <v>0</v>
      </c>
      <c r="Q17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76" s="8" t="str">
        <f t="shared" ca="1" si="18"/>
        <v>Cancelado</v>
      </c>
      <c r="S176" t="str">
        <f ca="1">IF(Tabla1[[#This Row],[En Mora]]="No","",DATEDIF((EDATE(Tabla1[[#This Row],[FechaDesembolso]],Tabla1[[#This Row],[Mes de Mora]])),TODAY(),"d"))</f>
        <v/>
      </c>
    </row>
    <row r="177" spans="1:19" x14ac:dyDescent="0.25">
      <c r="A177" t="s">
        <v>1019</v>
      </c>
      <c r="B177" t="s">
        <v>145</v>
      </c>
      <c r="C177" s="8" t="s">
        <v>31</v>
      </c>
      <c r="D177" s="8" t="str">
        <f>_xlfn.XLOOKUP(B177,Clientes!A:A,Clientes!G:G,"No encontrado",0)</f>
        <v>AG08</v>
      </c>
      <c r="E177" s="9">
        <v>45544</v>
      </c>
      <c r="F177" s="11">
        <v>10720</v>
      </c>
      <c r="G177" s="10">
        <v>0.50766459442211209</v>
      </c>
      <c r="H177" s="10">
        <f t="shared" si="14"/>
        <v>3.4805499234877413E-2</v>
      </c>
      <c r="I177">
        <v>16</v>
      </c>
      <c r="J177" s="12">
        <f t="shared" si="15"/>
        <v>885.08717641497856</v>
      </c>
      <c r="K177">
        <f t="shared" ca="1" si="16"/>
        <v>16</v>
      </c>
      <c r="L177">
        <f ca="1">MIN(DATEDIF(Tabla1[[#This Row],[FechaDesembolso]],TODAY(),"m"),Tabla1[[#This Row],[Plazos (Meses)]])</f>
        <v>16</v>
      </c>
      <c r="M177">
        <f t="shared" ca="1" si="17"/>
        <v>0</v>
      </c>
      <c r="N177" s="8" t="s">
        <v>1251</v>
      </c>
      <c r="O177" s="8" t="s">
        <v>1253</v>
      </c>
      <c r="P177" s="13">
        <f t="shared" ca="1" si="19"/>
        <v>0</v>
      </c>
      <c r="Q17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77" s="8" t="str">
        <f t="shared" ca="1" si="18"/>
        <v>Cancelado</v>
      </c>
      <c r="S177" t="str">
        <f ca="1">IF(Tabla1[[#This Row],[En Mora]]="No","",DATEDIF((EDATE(Tabla1[[#This Row],[FechaDesembolso]],Tabla1[[#This Row],[Mes de Mora]])),TODAY(),"d"))</f>
        <v/>
      </c>
    </row>
    <row r="178" spans="1:19" x14ac:dyDescent="0.25">
      <c r="A178" t="s">
        <v>1020</v>
      </c>
      <c r="B178" t="s">
        <v>65</v>
      </c>
      <c r="C178" s="8" t="s">
        <v>39</v>
      </c>
      <c r="D178" s="8" t="str">
        <f>_xlfn.XLOOKUP(B178,Clientes!A:A,Clientes!G:G,"No encontrado",0)</f>
        <v>AG05</v>
      </c>
      <c r="E178" s="9">
        <v>46187</v>
      </c>
      <c r="F178" s="11">
        <v>7707</v>
      </c>
      <c r="G178" s="10">
        <v>0.33816163929733822</v>
      </c>
      <c r="H178" s="10">
        <f t="shared" si="14"/>
        <v>2.4571759918595282E-2</v>
      </c>
      <c r="I178">
        <v>20</v>
      </c>
      <c r="J178" s="12">
        <f t="shared" si="15"/>
        <v>492.38424986719605</v>
      </c>
      <c r="K178">
        <f t="shared" ca="1" si="16"/>
        <v>1</v>
      </c>
      <c r="L178">
        <f ca="1">MIN(DATEDIF(Tabla1[[#This Row],[FechaDesembolso]],TODAY(),"m"),Tabla1[[#This Row],[Plazos (Meses)]])</f>
        <v>1</v>
      </c>
      <c r="M178">
        <f t="shared" ca="1" si="17"/>
        <v>19</v>
      </c>
      <c r="N178" s="8" t="s">
        <v>1251</v>
      </c>
      <c r="O178" s="8" t="s">
        <v>1253</v>
      </c>
      <c r="P178" s="13">
        <f t="shared" ca="1" si="19"/>
        <v>7707.0000000000127</v>
      </c>
      <c r="Q17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107.03424986719602</v>
      </c>
      <c r="R178" s="8" t="str">
        <f t="shared" ca="1" si="18"/>
        <v>Vigente</v>
      </c>
      <c r="S178" t="str">
        <f ca="1">IF(Tabla1[[#This Row],[En Mora]]="No","",DATEDIF((EDATE(Tabla1[[#This Row],[FechaDesembolso]],Tabla1[[#This Row],[Mes de Mora]])),TODAY(),"d"))</f>
        <v/>
      </c>
    </row>
    <row r="179" spans="1:19" x14ac:dyDescent="0.25">
      <c r="A179" t="s">
        <v>1021</v>
      </c>
      <c r="B179" t="s">
        <v>282</v>
      </c>
      <c r="C179" s="8" t="s">
        <v>33</v>
      </c>
      <c r="D179" s="8" t="str">
        <f>_xlfn.XLOOKUP(B179,Clientes!A:A,Clientes!G:G,"No encontrado",0)</f>
        <v>AG01</v>
      </c>
      <c r="E179" s="9">
        <v>45603</v>
      </c>
      <c r="F179" s="11">
        <v>20839</v>
      </c>
      <c r="G179" s="10">
        <v>0.26622665915974508</v>
      </c>
      <c r="H179" s="10">
        <f t="shared" si="14"/>
        <v>1.9864843299561397E-2</v>
      </c>
      <c r="I179">
        <v>41</v>
      </c>
      <c r="J179" s="12">
        <f t="shared" si="15"/>
        <v>747.80574672875844</v>
      </c>
      <c r="K179">
        <f t="shared" ca="1" si="16"/>
        <v>14</v>
      </c>
      <c r="L179">
        <f ca="1">MIN(DATEDIF(Tabla1[[#This Row],[FechaDesembolso]],TODAY(),"m"),Tabla1[[#This Row],[Plazos (Meses)]])</f>
        <v>21</v>
      </c>
      <c r="M179">
        <f t="shared" ca="1" si="17"/>
        <v>27</v>
      </c>
      <c r="N179" s="8" t="s">
        <v>1252</v>
      </c>
      <c r="O179" s="8">
        <v>14</v>
      </c>
      <c r="P179" s="13">
        <f t="shared" ca="1" si="19"/>
        <v>20839.000000000015</v>
      </c>
      <c r="Q17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3353.524356641643</v>
      </c>
      <c r="R179" s="8" t="str">
        <f t="shared" si="18"/>
        <v>En mora</v>
      </c>
      <c r="S179">
        <f ca="1">IF(Tabla1[[#This Row],[En Mora]]="No","",DATEDIF((EDATE(Tabla1[[#This Row],[FechaDesembolso]],Tabla1[[#This Row],[Mes de Mora]])),TODAY(),"d"))</f>
        <v>217</v>
      </c>
    </row>
    <row r="180" spans="1:19" x14ac:dyDescent="0.25">
      <c r="A180" t="s">
        <v>1022</v>
      </c>
      <c r="B180" t="s">
        <v>528</v>
      </c>
      <c r="C180" s="8" t="s">
        <v>31</v>
      </c>
      <c r="D180" s="8" t="str">
        <f>_xlfn.XLOOKUP(B180,Clientes!A:A,Clientes!G:G,"No encontrado",0)</f>
        <v>AG07</v>
      </c>
      <c r="E180" s="9">
        <v>46077</v>
      </c>
      <c r="F180" s="11">
        <v>7872</v>
      </c>
      <c r="G180" s="10">
        <v>0.45081192102568124</v>
      </c>
      <c r="H180" s="10">
        <f t="shared" si="14"/>
        <v>3.1496106344677921E-2</v>
      </c>
      <c r="I180">
        <v>26</v>
      </c>
      <c r="J180" s="12">
        <f t="shared" si="15"/>
        <v>447.96219736073294</v>
      </c>
      <c r="K180">
        <f t="shared" ca="1" si="16"/>
        <v>5</v>
      </c>
      <c r="L180">
        <f ca="1">MIN(DATEDIF(Tabla1[[#This Row],[FechaDesembolso]],TODAY(),"m"),Tabla1[[#This Row],[Plazos (Meses)]])</f>
        <v>5</v>
      </c>
      <c r="M180">
        <f t="shared" ca="1" si="17"/>
        <v>21</v>
      </c>
      <c r="N180" s="8" t="s">
        <v>1251</v>
      </c>
      <c r="O180" s="8" t="s">
        <v>1253</v>
      </c>
      <c r="P180" s="13">
        <f t="shared" ca="1" si="19"/>
        <v>7871.9999999999945</v>
      </c>
      <c r="Q18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725.96483295751079</v>
      </c>
      <c r="R180" s="8" t="str">
        <f t="shared" ca="1" si="18"/>
        <v>Vigente</v>
      </c>
      <c r="S180" t="str">
        <f ca="1">IF(Tabla1[[#This Row],[En Mora]]="No","",DATEDIF((EDATE(Tabla1[[#This Row],[FechaDesembolso]],Tabla1[[#This Row],[Mes de Mora]])),TODAY(),"d"))</f>
        <v/>
      </c>
    </row>
    <row r="181" spans="1:19" x14ac:dyDescent="0.25">
      <c r="A181" t="s">
        <v>1023</v>
      </c>
      <c r="B181" t="s">
        <v>353</v>
      </c>
      <c r="C181" s="8" t="s">
        <v>35</v>
      </c>
      <c r="D181" s="8" t="str">
        <f>_xlfn.XLOOKUP(B181,Clientes!A:A,Clientes!G:G,"No encontrado",0)</f>
        <v>AG05</v>
      </c>
      <c r="E181" s="9">
        <v>45910</v>
      </c>
      <c r="F181" s="11">
        <v>74311</v>
      </c>
      <c r="G181" s="10">
        <v>0.31818131522323212</v>
      </c>
      <c r="H181" s="10">
        <f t="shared" si="14"/>
        <v>2.3288113224065876E-2</v>
      </c>
      <c r="I181">
        <v>34</v>
      </c>
      <c r="J181" s="12">
        <f t="shared" si="15"/>
        <v>3187.9933293760928</v>
      </c>
      <c r="K181">
        <f t="shared" ca="1" si="16"/>
        <v>11</v>
      </c>
      <c r="L181">
        <f ca="1">MIN(DATEDIF(Tabla1[[#This Row],[FechaDesembolso]],TODAY(),"m"),Tabla1[[#This Row],[Plazos (Meses)]])</f>
        <v>11</v>
      </c>
      <c r="M181">
        <f t="shared" ca="1" si="17"/>
        <v>23</v>
      </c>
      <c r="N181" s="8" t="s">
        <v>1251</v>
      </c>
      <c r="O181" s="8" t="s">
        <v>1253</v>
      </c>
      <c r="P181" s="13">
        <f t="shared" ca="1" si="19"/>
        <v>74311.000000000015</v>
      </c>
      <c r="Q18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11026.132505489961</v>
      </c>
      <c r="R181" s="8" t="str">
        <f t="shared" ca="1" si="18"/>
        <v>Vigente</v>
      </c>
      <c r="S181" t="str">
        <f ca="1">IF(Tabla1[[#This Row],[En Mora]]="No","",DATEDIF((EDATE(Tabla1[[#This Row],[FechaDesembolso]],Tabla1[[#This Row],[Mes de Mora]])),TODAY(),"d"))</f>
        <v/>
      </c>
    </row>
    <row r="182" spans="1:19" x14ac:dyDescent="0.25">
      <c r="A182" t="s">
        <v>1024</v>
      </c>
      <c r="B182" t="s">
        <v>711</v>
      </c>
      <c r="C182" s="8" t="s">
        <v>39</v>
      </c>
      <c r="D182" s="8" t="str">
        <f>_xlfn.XLOOKUP(B182,Clientes!A:A,Clientes!G:G,"No encontrado",0)</f>
        <v>AG08</v>
      </c>
      <c r="E182" s="9">
        <v>45849</v>
      </c>
      <c r="F182" s="11">
        <v>3048</v>
      </c>
      <c r="G182" s="10">
        <v>0.34379588622686741</v>
      </c>
      <c r="H182" s="10">
        <f t="shared" si="14"/>
        <v>2.4930559380969219E-2</v>
      </c>
      <c r="I182">
        <v>19</v>
      </c>
      <c r="J182" s="12">
        <f t="shared" si="15"/>
        <v>203.35869569104335</v>
      </c>
      <c r="K182">
        <f t="shared" ca="1" si="16"/>
        <v>13</v>
      </c>
      <c r="L182">
        <f ca="1">MIN(DATEDIF(Tabla1[[#This Row],[FechaDesembolso]],TODAY(),"m"),Tabla1[[#This Row],[Plazos (Meses)]])</f>
        <v>13</v>
      </c>
      <c r="M182">
        <f t="shared" ca="1" si="17"/>
        <v>6</v>
      </c>
      <c r="N182" s="8" t="s">
        <v>1251</v>
      </c>
      <c r="O182" s="8" t="s">
        <v>1253</v>
      </c>
      <c r="P182" s="13">
        <f t="shared" ca="1" si="19"/>
        <v>3047.9999999999977</v>
      </c>
      <c r="Q18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558.18935977303727</v>
      </c>
      <c r="R182" s="8" t="str">
        <f t="shared" ca="1" si="18"/>
        <v>Vigente</v>
      </c>
      <c r="S182" t="str">
        <f ca="1">IF(Tabla1[[#This Row],[En Mora]]="No","",DATEDIF((EDATE(Tabla1[[#This Row],[FechaDesembolso]],Tabla1[[#This Row],[Mes de Mora]])),TODAY(),"d"))</f>
        <v/>
      </c>
    </row>
    <row r="183" spans="1:19" x14ac:dyDescent="0.25">
      <c r="A183" t="s">
        <v>1025</v>
      </c>
      <c r="B183" t="s">
        <v>85</v>
      </c>
      <c r="C183" s="8" t="s">
        <v>31</v>
      </c>
      <c r="D183" s="8" t="str">
        <f>_xlfn.XLOOKUP(B183,Clientes!A:A,Clientes!G:G,"No encontrado",0)</f>
        <v>AG04</v>
      </c>
      <c r="E183" s="9">
        <v>45557</v>
      </c>
      <c r="F183" s="11">
        <v>658</v>
      </c>
      <c r="G183" s="10">
        <v>0.53266342490827023</v>
      </c>
      <c r="H183" s="10">
        <f t="shared" si="14"/>
        <v>3.6224602942218631E-2</v>
      </c>
      <c r="I183">
        <v>29</v>
      </c>
      <c r="J183" s="12">
        <f t="shared" si="15"/>
        <v>37.030339537297344</v>
      </c>
      <c r="K183">
        <f t="shared" ca="1" si="16"/>
        <v>22</v>
      </c>
      <c r="L183">
        <f ca="1">MIN(DATEDIF(Tabla1[[#This Row],[FechaDesembolso]],TODAY(),"m"),Tabla1[[#This Row],[Plazos (Meses)]])</f>
        <v>22</v>
      </c>
      <c r="M183">
        <f t="shared" ca="1" si="17"/>
        <v>7</v>
      </c>
      <c r="N183" s="8" t="s">
        <v>1251</v>
      </c>
      <c r="O183" s="8" t="s">
        <v>1253</v>
      </c>
      <c r="P183" s="13">
        <f t="shared" ca="1" si="19"/>
        <v>658.00000000000023</v>
      </c>
      <c r="Q18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315.49505602743818</v>
      </c>
      <c r="R183" s="8" t="str">
        <f t="shared" ca="1" si="18"/>
        <v>Vigente</v>
      </c>
      <c r="S183" t="str">
        <f ca="1">IF(Tabla1[[#This Row],[En Mora]]="No","",DATEDIF((EDATE(Tabla1[[#This Row],[FechaDesembolso]],Tabla1[[#This Row],[Mes de Mora]])),TODAY(),"d"))</f>
        <v/>
      </c>
    </row>
    <row r="184" spans="1:19" x14ac:dyDescent="0.25">
      <c r="A184" t="s">
        <v>1026</v>
      </c>
      <c r="B184" t="s">
        <v>471</v>
      </c>
      <c r="C184" s="8" t="s">
        <v>31</v>
      </c>
      <c r="D184" s="8" t="str">
        <f>_xlfn.XLOOKUP(B184,Clientes!A:A,Clientes!G:G,"No encontrado",0)</f>
        <v>AG03</v>
      </c>
      <c r="E184" s="9">
        <v>46109</v>
      </c>
      <c r="F184" s="11">
        <v>6195</v>
      </c>
      <c r="G184" s="10">
        <v>0.44030906236591832</v>
      </c>
      <c r="H184" s="10">
        <f t="shared" si="14"/>
        <v>3.0871756455305155E-2</v>
      </c>
      <c r="I184">
        <v>31</v>
      </c>
      <c r="J184" s="12">
        <f t="shared" si="15"/>
        <v>313.33712638953011</v>
      </c>
      <c r="K184">
        <f t="shared" ca="1" si="16"/>
        <v>4</v>
      </c>
      <c r="L184">
        <f ca="1">MIN(DATEDIF(Tabla1[[#This Row],[FechaDesembolso]],TODAY(),"m"),Tabla1[[#This Row],[Plazos (Meses)]])</f>
        <v>4</v>
      </c>
      <c r="M184">
        <f t="shared" ca="1" si="17"/>
        <v>27</v>
      </c>
      <c r="N184" s="8" t="s">
        <v>1251</v>
      </c>
      <c r="O184" s="8" t="s">
        <v>1253</v>
      </c>
      <c r="P184" s="13">
        <f t="shared" ca="1" si="19"/>
        <v>6194.9999999999945</v>
      </c>
      <c r="Q18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453.99366684844307</v>
      </c>
      <c r="R184" s="8" t="str">
        <f t="shared" ca="1" si="18"/>
        <v>Vigente</v>
      </c>
      <c r="S184" t="str">
        <f ca="1">IF(Tabla1[[#This Row],[En Mora]]="No","",DATEDIF((EDATE(Tabla1[[#This Row],[FechaDesembolso]],Tabla1[[#This Row],[Mes de Mora]])),TODAY(),"d"))</f>
        <v/>
      </c>
    </row>
    <row r="185" spans="1:19" x14ac:dyDescent="0.25">
      <c r="A185" t="s">
        <v>1027</v>
      </c>
      <c r="B185" t="s">
        <v>570</v>
      </c>
      <c r="C185" s="8" t="s">
        <v>33</v>
      </c>
      <c r="D185" s="8" t="str">
        <f>_xlfn.XLOOKUP(B185,Clientes!A:A,Clientes!G:G,"No encontrado",0)</f>
        <v>AG05</v>
      </c>
      <c r="E185" s="9">
        <v>46038</v>
      </c>
      <c r="F185" s="11">
        <v>5956</v>
      </c>
      <c r="G185" s="10">
        <v>0.44502974636008097</v>
      </c>
      <c r="H185" s="10">
        <f t="shared" si="14"/>
        <v>3.1152895460702767E-2</v>
      </c>
      <c r="I185">
        <v>26</v>
      </c>
      <c r="J185" s="12">
        <f t="shared" si="15"/>
        <v>337.60428484248592</v>
      </c>
      <c r="K185">
        <f t="shared" ca="1" si="16"/>
        <v>6</v>
      </c>
      <c r="L185">
        <f ca="1">MIN(DATEDIF(Tabla1[[#This Row],[FechaDesembolso]],TODAY(),"m"),Tabla1[[#This Row],[Plazos (Meses)]])</f>
        <v>6</v>
      </c>
      <c r="M185">
        <f t="shared" ca="1" si="17"/>
        <v>20</v>
      </c>
      <c r="N185" s="8" t="s">
        <v>1251</v>
      </c>
      <c r="O185" s="8" t="s">
        <v>1253</v>
      </c>
      <c r="P185" s="13">
        <f t="shared" ca="1" si="19"/>
        <v>5956.0000000000045</v>
      </c>
      <c r="Q18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651.16417059337721</v>
      </c>
      <c r="R185" s="8" t="str">
        <f t="shared" ca="1" si="18"/>
        <v>Vigente</v>
      </c>
      <c r="S185" t="str">
        <f ca="1">IF(Tabla1[[#This Row],[En Mora]]="No","",DATEDIF((EDATE(Tabla1[[#This Row],[FechaDesembolso]],Tabla1[[#This Row],[Mes de Mora]])),TODAY(),"d"))</f>
        <v/>
      </c>
    </row>
    <row r="186" spans="1:19" x14ac:dyDescent="0.25">
      <c r="A186" t="s">
        <v>1028</v>
      </c>
      <c r="B186" t="s">
        <v>116</v>
      </c>
      <c r="C186" s="8" t="s">
        <v>37</v>
      </c>
      <c r="D186" s="8" t="str">
        <f>_xlfn.XLOOKUP(B186,Clientes!A:A,Clientes!G:G,"No encontrado",0)</f>
        <v>AG06</v>
      </c>
      <c r="E186" s="9">
        <v>44953</v>
      </c>
      <c r="F186" s="11">
        <v>190941</v>
      </c>
      <c r="G186" s="10">
        <v>9.255394216584556E-2</v>
      </c>
      <c r="H186" s="10">
        <f t="shared" si="14"/>
        <v>7.4037752214417551E-3</v>
      </c>
      <c r="I186">
        <v>225</v>
      </c>
      <c r="J186" s="12">
        <f t="shared" si="15"/>
        <v>1745.7063830802633</v>
      </c>
      <c r="K186">
        <f t="shared" ca="1" si="16"/>
        <v>22</v>
      </c>
      <c r="L186">
        <f ca="1">MIN(DATEDIF(Tabla1[[#This Row],[FechaDesembolso]],TODAY(),"m"),Tabla1[[#This Row],[Plazos (Meses)]])</f>
        <v>42</v>
      </c>
      <c r="M186">
        <f t="shared" ca="1" si="17"/>
        <v>203</v>
      </c>
      <c r="N186" s="8" t="s">
        <v>1252</v>
      </c>
      <c r="O186" s="8">
        <v>22</v>
      </c>
      <c r="P186" s="13">
        <f t="shared" ca="1" si="19"/>
        <v>190940.99999999962</v>
      </c>
      <c r="Q18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19735.753761099128</v>
      </c>
      <c r="R186" s="8" t="str">
        <f t="shared" si="18"/>
        <v>En mora</v>
      </c>
      <c r="S186">
        <f ca="1">IF(Tabla1[[#This Row],[En Mora]]="No","",DATEDIF((EDATE(Tabla1[[#This Row],[FechaDesembolso]],Tabla1[[#This Row],[Mes de Mora]])),TODAY(),"d"))</f>
        <v>623</v>
      </c>
    </row>
    <row r="187" spans="1:19" x14ac:dyDescent="0.25">
      <c r="A187" t="s">
        <v>1029</v>
      </c>
      <c r="B187" t="s">
        <v>666</v>
      </c>
      <c r="C187" s="8" t="s">
        <v>37</v>
      </c>
      <c r="D187" s="8" t="str">
        <f>_xlfn.XLOOKUP(B187,Clientes!A:A,Clientes!G:G,"No encontrado",0)</f>
        <v>AG03</v>
      </c>
      <c r="E187" s="9">
        <v>45887</v>
      </c>
      <c r="F187" s="11">
        <v>259154</v>
      </c>
      <c r="G187" s="10">
        <v>0.13574598819156011</v>
      </c>
      <c r="H187" s="10">
        <f t="shared" si="14"/>
        <v>1.0663933154599459E-2</v>
      </c>
      <c r="I187">
        <v>192</v>
      </c>
      <c r="J187" s="12">
        <f t="shared" si="15"/>
        <v>3178.2587623530271</v>
      </c>
      <c r="K187">
        <f t="shared" ca="1" si="16"/>
        <v>11</v>
      </c>
      <c r="L187">
        <f ca="1">MIN(DATEDIF(Tabla1[[#This Row],[FechaDesembolso]],TODAY(),"m"),Tabla1[[#This Row],[Plazos (Meses)]])</f>
        <v>11</v>
      </c>
      <c r="M187">
        <f t="shared" ca="1" si="17"/>
        <v>181</v>
      </c>
      <c r="N187" s="8" t="s">
        <v>1251</v>
      </c>
      <c r="O187" s="8" t="s">
        <v>1253</v>
      </c>
      <c r="P187" s="13">
        <f t="shared" ca="1" si="19"/>
        <v>259154.00000000017</v>
      </c>
      <c r="Q18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20113.481802549963</v>
      </c>
      <c r="R187" s="8" t="str">
        <f t="shared" ca="1" si="18"/>
        <v>Vigente</v>
      </c>
      <c r="S187" t="str">
        <f ca="1">IF(Tabla1[[#This Row],[En Mora]]="No","",DATEDIF((EDATE(Tabla1[[#This Row],[FechaDesembolso]],Tabla1[[#This Row],[Mes de Mora]])),TODAY(),"d"))</f>
        <v/>
      </c>
    </row>
    <row r="188" spans="1:19" x14ac:dyDescent="0.25">
      <c r="A188" t="s">
        <v>1030</v>
      </c>
      <c r="B188" t="s">
        <v>398</v>
      </c>
      <c r="C188" s="8" t="s">
        <v>35</v>
      </c>
      <c r="D188" s="8" t="str">
        <f>_xlfn.XLOOKUP(B188,Clientes!A:A,Clientes!G:G,"No encontrado",0)</f>
        <v>AG03</v>
      </c>
      <c r="E188" s="9">
        <v>45281</v>
      </c>
      <c r="F188" s="11">
        <v>11047</v>
      </c>
      <c r="G188" s="10">
        <v>0.23169269181597882</v>
      </c>
      <c r="H188" s="10">
        <f t="shared" si="14"/>
        <v>1.7517444807172655E-2</v>
      </c>
      <c r="I188">
        <v>60</v>
      </c>
      <c r="J188" s="12">
        <f t="shared" si="15"/>
        <v>298.98856751983129</v>
      </c>
      <c r="K188">
        <f t="shared" ca="1" si="16"/>
        <v>27</v>
      </c>
      <c r="L188">
        <f ca="1">MIN(DATEDIF(Tabla1[[#This Row],[FechaDesembolso]],TODAY(),"m"),Tabla1[[#This Row],[Plazos (Meses)]])</f>
        <v>31</v>
      </c>
      <c r="M188">
        <f t="shared" ca="1" si="17"/>
        <v>33</v>
      </c>
      <c r="N188" s="8" t="s">
        <v>1252</v>
      </c>
      <c r="O188" s="8">
        <v>27</v>
      </c>
      <c r="P188" s="13">
        <f t="shared" ca="1" si="19"/>
        <v>11046.999999999984</v>
      </c>
      <c r="Q18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3101.5413230354452</v>
      </c>
      <c r="R188" s="8" t="str">
        <f t="shared" si="18"/>
        <v>En mora</v>
      </c>
      <c r="S188">
        <f ca="1">IF(Tabla1[[#This Row],[En Mora]]="No","",DATEDIF((EDATE(Tabla1[[#This Row],[FechaDesembolso]],Tabla1[[#This Row],[Mes de Mora]])),TODAY(),"d"))</f>
        <v>144</v>
      </c>
    </row>
    <row r="189" spans="1:19" x14ac:dyDescent="0.25">
      <c r="A189" t="s">
        <v>1031</v>
      </c>
      <c r="B189" t="s">
        <v>186</v>
      </c>
      <c r="C189" s="8" t="s">
        <v>35</v>
      </c>
      <c r="D189" s="8" t="str">
        <f>_xlfn.XLOOKUP(B189,Clientes!A:A,Clientes!G:G,"No encontrado",0)</f>
        <v>AG06</v>
      </c>
      <c r="E189" s="9">
        <v>45918</v>
      </c>
      <c r="F189" s="11">
        <v>53533</v>
      </c>
      <c r="G189" s="10">
        <v>0.31179695002647334</v>
      </c>
      <c r="H189" s="10">
        <f t="shared" si="14"/>
        <v>2.2874184808204356E-2</v>
      </c>
      <c r="I189">
        <v>24</v>
      </c>
      <c r="J189" s="12">
        <f t="shared" si="15"/>
        <v>2923.3370592911347</v>
      </c>
      <c r="K189">
        <f t="shared" ca="1" si="16"/>
        <v>10</v>
      </c>
      <c r="L189">
        <f ca="1">MIN(DATEDIF(Tabla1[[#This Row],[FechaDesembolso]],TODAY(),"m"),Tabla1[[#This Row],[Plazos (Meses)]])</f>
        <v>10</v>
      </c>
      <c r="M189">
        <f t="shared" ca="1" si="17"/>
        <v>14</v>
      </c>
      <c r="N189" s="8" t="s">
        <v>1251</v>
      </c>
      <c r="O189" s="8" t="s">
        <v>1253</v>
      </c>
      <c r="P189" s="13">
        <f t="shared" ca="1" si="19"/>
        <v>53532.999999999905</v>
      </c>
      <c r="Q18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6927.9539262446815</v>
      </c>
      <c r="R189" s="8" t="str">
        <f t="shared" ca="1" si="18"/>
        <v>Vigente</v>
      </c>
      <c r="S189" t="str">
        <f ca="1">IF(Tabla1[[#This Row],[En Mora]]="No","",DATEDIF((EDATE(Tabla1[[#This Row],[FechaDesembolso]],Tabla1[[#This Row],[Mes de Mora]])),TODAY(),"d"))</f>
        <v/>
      </c>
    </row>
    <row r="190" spans="1:19" x14ac:dyDescent="0.25">
      <c r="A190" t="s">
        <v>1032</v>
      </c>
      <c r="B190" t="s">
        <v>576</v>
      </c>
      <c r="C190" s="8" t="s">
        <v>39</v>
      </c>
      <c r="D190" s="8" t="str">
        <f>_xlfn.XLOOKUP(B190,Clientes!A:A,Clientes!G:G,"No encontrado",0)</f>
        <v>AG06</v>
      </c>
      <c r="E190" s="9">
        <v>45733</v>
      </c>
      <c r="F190" s="11">
        <v>18224</v>
      </c>
      <c r="G190" s="10">
        <v>0.33638610699740701</v>
      </c>
      <c r="H190" s="10">
        <f t="shared" si="14"/>
        <v>2.4458403689341157E-2</v>
      </c>
      <c r="I190">
        <v>12</v>
      </c>
      <c r="J190" s="12">
        <f t="shared" si="15"/>
        <v>1770.7845202410601</v>
      </c>
      <c r="K190">
        <f t="shared" ca="1" si="16"/>
        <v>12</v>
      </c>
      <c r="L190">
        <f ca="1">MIN(DATEDIF(Tabla1[[#This Row],[FechaDesembolso]],TODAY(),"m"),Tabla1[[#This Row],[Plazos (Meses)]])</f>
        <v>12</v>
      </c>
      <c r="M190">
        <f t="shared" ca="1" si="17"/>
        <v>0</v>
      </c>
      <c r="N190" s="8" t="s">
        <v>1251</v>
      </c>
      <c r="O190" s="8" t="s">
        <v>1253</v>
      </c>
      <c r="P190" s="13">
        <f t="shared" ca="1" si="19"/>
        <v>0</v>
      </c>
      <c r="Q19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90" s="8" t="str">
        <f t="shared" ca="1" si="18"/>
        <v>Cancelado</v>
      </c>
      <c r="S190" t="str">
        <f ca="1">IF(Tabla1[[#This Row],[En Mora]]="No","",DATEDIF((EDATE(Tabla1[[#This Row],[FechaDesembolso]],Tabla1[[#This Row],[Mes de Mora]])),TODAY(),"d"))</f>
        <v/>
      </c>
    </row>
    <row r="191" spans="1:19" x14ac:dyDescent="0.25">
      <c r="A191" t="s">
        <v>1033</v>
      </c>
      <c r="B191" t="s">
        <v>627</v>
      </c>
      <c r="C191" s="8" t="s">
        <v>35</v>
      </c>
      <c r="D191" s="8" t="str">
        <f>_xlfn.XLOOKUP(B191,Clientes!A:A,Clientes!G:G,"No encontrado",0)</f>
        <v>AG03</v>
      </c>
      <c r="E191" s="9">
        <v>46109</v>
      </c>
      <c r="F191" s="11">
        <v>30521</v>
      </c>
      <c r="G191" s="10">
        <v>0.25709184591875289</v>
      </c>
      <c r="H191" s="10">
        <f t="shared" si="14"/>
        <v>1.9249680795478508E-2</v>
      </c>
      <c r="I191">
        <v>15</v>
      </c>
      <c r="J191" s="12">
        <f t="shared" si="15"/>
        <v>2361.9983940287275</v>
      </c>
      <c r="K191">
        <f t="shared" ca="1" si="16"/>
        <v>4</v>
      </c>
      <c r="L191">
        <f ca="1">MIN(DATEDIF(Tabla1[[#This Row],[FechaDesembolso]],TODAY(),"m"),Tabla1[[#This Row],[Plazos (Meses)]])</f>
        <v>4</v>
      </c>
      <c r="M191">
        <f t="shared" ca="1" si="17"/>
        <v>11</v>
      </c>
      <c r="N191" s="8" t="s">
        <v>1251</v>
      </c>
      <c r="O191" s="8" t="s">
        <v>1253</v>
      </c>
      <c r="P191" s="13">
        <f t="shared" ca="1" si="19"/>
        <v>30521.000000000029</v>
      </c>
      <c r="Q19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1309.0602427815766</v>
      </c>
      <c r="R191" s="8" t="str">
        <f t="shared" ca="1" si="18"/>
        <v>Vigente</v>
      </c>
      <c r="S191" t="str">
        <f ca="1">IF(Tabla1[[#This Row],[En Mora]]="No","",DATEDIF((EDATE(Tabla1[[#This Row],[FechaDesembolso]],Tabla1[[#This Row],[Mes de Mora]])),TODAY(),"d"))</f>
        <v/>
      </c>
    </row>
    <row r="192" spans="1:19" x14ac:dyDescent="0.25">
      <c r="A192" t="s">
        <v>1034</v>
      </c>
      <c r="B192" t="s">
        <v>510</v>
      </c>
      <c r="C192" s="8" t="s">
        <v>35</v>
      </c>
      <c r="D192" s="8" t="str">
        <f>_xlfn.XLOOKUP(B192,Clientes!A:A,Clientes!G:G,"No encontrado",0)</f>
        <v>AG07</v>
      </c>
      <c r="E192" s="9">
        <v>46092</v>
      </c>
      <c r="F192" s="11">
        <v>40969</v>
      </c>
      <c r="G192" s="10">
        <v>0.34754964995040849</v>
      </c>
      <c r="H192" s="10">
        <f t="shared" si="14"/>
        <v>2.5168841484744187E-2</v>
      </c>
      <c r="I192">
        <v>18</v>
      </c>
      <c r="J192" s="12">
        <f t="shared" si="15"/>
        <v>2858.47034669513</v>
      </c>
      <c r="K192">
        <f t="shared" ca="1" si="16"/>
        <v>5</v>
      </c>
      <c r="L192">
        <f ca="1">MIN(DATEDIF(Tabla1[[#This Row],[FechaDesembolso]],TODAY(),"m"),Tabla1[[#This Row],[Plazos (Meses)]])</f>
        <v>5</v>
      </c>
      <c r="M192">
        <f t="shared" ca="1" si="17"/>
        <v>13</v>
      </c>
      <c r="N192" s="8" t="s">
        <v>1251</v>
      </c>
      <c r="O192" s="8" t="s">
        <v>1253</v>
      </c>
      <c r="P192" s="13">
        <f t="shared" ca="1" si="19"/>
        <v>40968.999999999993</v>
      </c>
      <c r="Q19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2912.073955697872</v>
      </c>
      <c r="R192" s="8" t="str">
        <f t="shared" ca="1" si="18"/>
        <v>Vigente</v>
      </c>
      <c r="S192" t="str">
        <f ca="1">IF(Tabla1[[#This Row],[En Mora]]="No","",DATEDIF((EDATE(Tabla1[[#This Row],[FechaDesembolso]],Tabla1[[#This Row],[Mes de Mora]])),TODAY(),"d"))</f>
        <v/>
      </c>
    </row>
    <row r="193" spans="1:19" x14ac:dyDescent="0.25">
      <c r="A193" t="s">
        <v>1035</v>
      </c>
      <c r="B193" t="s">
        <v>410</v>
      </c>
      <c r="C193" s="8" t="s">
        <v>39</v>
      </c>
      <c r="D193" s="8" t="str">
        <f>_xlfn.XLOOKUP(B193,Clientes!A:A,Clientes!G:G,"No encontrado",0)</f>
        <v>AG01</v>
      </c>
      <c r="E193" s="9">
        <v>45259</v>
      </c>
      <c r="F193" s="11">
        <v>5785</v>
      </c>
      <c r="G193" s="10">
        <v>0.31510860662866824</v>
      </c>
      <c r="H193" s="10">
        <f t="shared" si="14"/>
        <v>2.3089125014503775E-2</v>
      </c>
      <c r="I193">
        <v>12</v>
      </c>
      <c r="J193" s="12">
        <f t="shared" si="15"/>
        <v>557.45805240091522</v>
      </c>
      <c r="K193">
        <f t="shared" ca="1" si="16"/>
        <v>12</v>
      </c>
      <c r="L193">
        <f ca="1">MIN(DATEDIF(Tabla1[[#This Row],[FechaDesembolso]],TODAY(),"m"),Tabla1[[#This Row],[Plazos (Meses)]])</f>
        <v>12</v>
      </c>
      <c r="M193">
        <f t="shared" ca="1" si="17"/>
        <v>0</v>
      </c>
      <c r="N193" s="8" t="s">
        <v>1251</v>
      </c>
      <c r="O193" s="8" t="s">
        <v>1253</v>
      </c>
      <c r="P193" s="13">
        <f t="shared" ca="1" si="19"/>
        <v>0</v>
      </c>
      <c r="Q19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93" s="8" t="str">
        <f t="shared" ca="1" si="18"/>
        <v>Cancelado</v>
      </c>
      <c r="S193" t="str">
        <f ca="1">IF(Tabla1[[#This Row],[En Mora]]="No","",DATEDIF((EDATE(Tabla1[[#This Row],[FechaDesembolso]],Tabla1[[#This Row],[Mes de Mora]])),TODAY(),"d"))</f>
        <v/>
      </c>
    </row>
    <row r="194" spans="1:19" x14ac:dyDescent="0.25">
      <c r="A194" t="s">
        <v>1036</v>
      </c>
      <c r="B194" t="s">
        <v>429</v>
      </c>
      <c r="C194" s="8" t="s">
        <v>37</v>
      </c>
      <c r="D194" s="8" t="str">
        <f>_xlfn.XLOOKUP(B194,Clientes!A:A,Clientes!G:G,"No encontrado",0)</f>
        <v>AG06</v>
      </c>
      <c r="E194" s="9">
        <v>46149</v>
      </c>
      <c r="F194" s="11">
        <v>268487</v>
      </c>
      <c r="G194" s="10">
        <v>9.8681449774393803E-2</v>
      </c>
      <c r="H194" s="10">
        <f t="shared" si="14"/>
        <v>7.8733983627985449E-3</v>
      </c>
      <c r="I194">
        <v>159</v>
      </c>
      <c r="J194" s="12">
        <f t="shared" si="15"/>
        <v>2966.36331923632</v>
      </c>
      <c r="K194">
        <f t="shared" ca="1" si="16"/>
        <v>3</v>
      </c>
      <c r="L194">
        <f ca="1">MIN(DATEDIF(Tabla1[[#This Row],[FechaDesembolso]],TODAY(),"m"),Tabla1[[#This Row],[Plazos (Meses)]])</f>
        <v>3</v>
      </c>
      <c r="M194">
        <f t="shared" ca="1" si="17"/>
        <v>156</v>
      </c>
      <c r="N194" s="8" t="s">
        <v>1251</v>
      </c>
      <c r="O194" s="8" t="s">
        <v>1253</v>
      </c>
      <c r="P194" s="13">
        <f t="shared" ca="1" si="19"/>
        <v>268487.00000000023</v>
      </c>
      <c r="Q19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3833.2975048787707</v>
      </c>
      <c r="R194" s="8" t="str">
        <f t="shared" ca="1" si="18"/>
        <v>Vigente</v>
      </c>
      <c r="S194" t="str">
        <f ca="1">IF(Tabla1[[#This Row],[En Mora]]="No","",DATEDIF((EDATE(Tabla1[[#This Row],[FechaDesembolso]],Tabla1[[#This Row],[Mes de Mora]])),TODAY(),"d"))</f>
        <v/>
      </c>
    </row>
    <row r="195" spans="1:19" x14ac:dyDescent="0.25">
      <c r="A195" t="s">
        <v>1037</v>
      </c>
      <c r="B195" t="s">
        <v>495</v>
      </c>
      <c r="C195" s="8" t="s">
        <v>39</v>
      </c>
      <c r="D195" s="8" t="str">
        <f>_xlfn.XLOOKUP(B195,Clientes!A:A,Clientes!G:G,"No encontrado",0)</f>
        <v>AG05</v>
      </c>
      <c r="E195" s="9">
        <v>45802</v>
      </c>
      <c r="F195" s="11">
        <v>19264</v>
      </c>
      <c r="G195" s="10">
        <v>0.37772759296545261</v>
      </c>
      <c r="H195" s="10">
        <f t="shared" ref="H195:H258" si="20">(1+G195)^(1/12)-1</f>
        <v>2.7062674484099603E-2</v>
      </c>
      <c r="I195">
        <v>8</v>
      </c>
      <c r="J195" s="12">
        <f t="shared" ref="J195:J258" si="21">PMT(H195,I195,-F195,,)</f>
        <v>2710.3798755708722</v>
      </c>
      <c r="K195">
        <f t="shared" ref="K195:K258" ca="1" si="22">IF(N195="SI",O195,MIN(DATEDIF(E195,TODAY(),"m"),I195))</f>
        <v>8</v>
      </c>
      <c r="L195">
        <f ca="1">MIN(DATEDIF(Tabla1[[#This Row],[FechaDesembolso]],TODAY(),"m"),Tabla1[[#This Row],[Plazos (Meses)]])</f>
        <v>8</v>
      </c>
      <c r="M195">
        <f t="shared" ref="M195:M258" ca="1" si="23">I195-K195</f>
        <v>0</v>
      </c>
      <c r="N195" s="8" t="s">
        <v>1251</v>
      </c>
      <c r="O195" s="8" t="s">
        <v>1253</v>
      </c>
      <c r="P195" s="13">
        <f t="shared" ca="1" si="19"/>
        <v>0</v>
      </c>
      <c r="Q19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95" s="8" t="str">
        <f t="shared" ref="R195:R258" ca="1" si="24">IF(N195="SI","En mora",IF(K195&gt;=I195,"Cancelado","Vigente"))</f>
        <v>Cancelado</v>
      </c>
      <c r="S195" t="str">
        <f ca="1">IF(Tabla1[[#This Row],[En Mora]]="No","",DATEDIF((EDATE(Tabla1[[#This Row],[FechaDesembolso]],Tabla1[[#This Row],[Mes de Mora]])),TODAY(),"d"))</f>
        <v/>
      </c>
    </row>
    <row r="196" spans="1:19" x14ac:dyDescent="0.25">
      <c r="A196" t="s">
        <v>1038</v>
      </c>
      <c r="B196" t="s">
        <v>232</v>
      </c>
      <c r="C196" s="8" t="s">
        <v>31</v>
      </c>
      <c r="D196" s="8" t="str">
        <f>_xlfn.XLOOKUP(B196,Clientes!A:A,Clientes!G:G,"No encontrado",0)</f>
        <v>AG03</v>
      </c>
      <c r="E196" s="9">
        <v>45301</v>
      </c>
      <c r="F196" s="11">
        <v>3041</v>
      </c>
      <c r="G196" s="10">
        <v>0.41336766362661059</v>
      </c>
      <c r="H196" s="10">
        <f t="shared" si="20"/>
        <v>2.9250916939341121E-2</v>
      </c>
      <c r="I196">
        <v>29</v>
      </c>
      <c r="J196" s="12">
        <f t="shared" si="21"/>
        <v>156.99112840828977</v>
      </c>
      <c r="K196">
        <f t="shared" ca="1" si="22"/>
        <v>29</v>
      </c>
      <c r="L196">
        <f ca="1">MIN(DATEDIF(Tabla1[[#This Row],[FechaDesembolso]],TODAY(),"m"),Tabla1[[#This Row],[Plazos (Meses)]])</f>
        <v>29</v>
      </c>
      <c r="M196">
        <f t="shared" ca="1" si="23"/>
        <v>0</v>
      </c>
      <c r="N196" s="8" t="s">
        <v>1251</v>
      </c>
      <c r="O196" s="8" t="s">
        <v>1253</v>
      </c>
      <c r="P196" s="13">
        <f t="shared" ca="1" si="19"/>
        <v>0</v>
      </c>
      <c r="Q19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196" s="8" t="str">
        <f t="shared" ca="1" si="24"/>
        <v>Cancelado</v>
      </c>
      <c r="S196" t="str">
        <f ca="1">IF(Tabla1[[#This Row],[En Mora]]="No","",DATEDIF((EDATE(Tabla1[[#This Row],[FechaDesembolso]],Tabla1[[#This Row],[Mes de Mora]])),TODAY(),"d"))</f>
        <v/>
      </c>
    </row>
    <row r="197" spans="1:19" x14ac:dyDescent="0.25">
      <c r="A197" t="s">
        <v>1039</v>
      </c>
      <c r="B197" t="s">
        <v>507</v>
      </c>
      <c r="C197" s="8" t="s">
        <v>33</v>
      </c>
      <c r="D197" s="8" t="str">
        <f>_xlfn.XLOOKUP(B197,Clientes!A:A,Clientes!G:G,"No encontrado",0)</f>
        <v>AG07</v>
      </c>
      <c r="E197" s="9">
        <v>46048</v>
      </c>
      <c r="F197" s="11">
        <v>38526</v>
      </c>
      <c r="G197" s="10">
        <v>0.2958385134457806</v>
      </c>
      <c r="H197" s="10">
        <f t="shared" si="20"/>
        <v>2.1831391146246881E-2</v>
      </c>
      <c r="I197">
        <v>11</v>
      </c>
      <c r="J197" s="12">
        <f t="shared" si="21"/>
        <v>3977.6298205284634</v>
      </c>
      <c r="K197">
        <f t="shared" ca="1" si="22"/>
        <v>6</v>
      </c>
      <c r="L197">
        <f ca="1">MIN(DATEDIF(Tabla1[[#This Row],[FechaDesembolso]],TODAY(),"m"),Tabla1[[#This Row],[Plazos (Meses)]])</f>
        <v>6</v>
      </c>
      <c r="M197">
        <f t="shared" ca="1" si="23"/>
        <v>5</v>
      </c>
      <c r="N197" s="8" t="s">
        <v>1251</v>
      </c>
      <c r="O197" s="8" t="s">
        <v>1253</v>
      </c>
      <c r="P197" s="13">
        <f t="shared" ref="P197:P260" ca="1" si="25">IF(M197=0,0,PV(H197,I197,-J197))</f>
        <v>38526.000000000015</v>
      </c>
      <c r="Q19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2851.5971049889617</v>
      </c>
      <c r="R197" s="8" t="str">
        <f t="shared" ca="1" si="24"/>
        <v>Vigente</v>
      </c>
      <c r="S197" t="str">
        <f ca="1">IF(Tabla1[[#This Row],[En Mora]]="No","",DATEDIF((EDATE(Tabla1[[#This Row],[FechaDesembolso]],Tabla1[[#This Row],[Mes de Mora]])),TODAY(),"d"))</f>
        <v/>
      </c>
    </row>
    <row r="198" spans="1:19" x14ac:dyDescent="0.25">
      <c r="A198" t="s">
        <v>1040</v>
      </c>
      <c r="B198" t="s">
        <v>750</v>
      </c>
      <c r="C198" s="8" t="s">
        <v>37</v>
      </c>
      <c r="D198" s="8" t="str">
        <f>_xlfn.XLOOKUP(B198,Clientes!A:A,Clientes!G:G,"No encontrado",0)</f>
        <v>AG03</v>
      </c>
      <c r="E198" s="9">
        <v>46158</v>
      </c>
      <c r="F198" s="11">
        <v>42233</v>
      </c>
      <c r="G198" s="10">
        <v>0.12717339918488357</v>
      </c>
      <c r="H198" s="10">
        <f t="shared" si="20"/>
        <v>1.0026017267318776E-2</v>
      </c>
      <c r="I198">
        <v>141</v>
      </c>
      <c r="J198" s="12">
        <f t="shared" si="21"/>
        <v>560.80887438294076</v>
      </c>
      <c r="K198">
        <f t="shared" ca="1" si="22"/>
        <v>1</v>
      </c>
      <c r="L198">
        <f ca="1">MIN(DATEDIF(Tabla1[[#This Row],[FechaDesembolso]],TODAY(),"m"),Tabla1[[#This Row],[Plazos (Meses)]])</f>
        <v>2</v>
      </c>
      <c r="M198">
        <f t="shared" ca="1" si="23"/>
        <v>140</v>
      </c>
      <c r="N198" s="8" t="s">
        <v>1252</v>
      </c>
      <c r="O198" s="8">
        <v>1</v>
      </c>
      <c r="P198" s="13">
        <f t="shared" ca="1" si="25"/>
        <v>42233.000000000116</v>
      </c>
      <c r="Q19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261.28405168790528</v>
      </c>
      <c r="R198" s="8" t="str">
        <f t="shared" si="24"/>
        <v>En mora</v>
      </c>
      <c r="S198">
        <f ca="1">IF(Tabla1[[#This Row],[En Mora]]="No","",DATEDIF((EDATE(Tabla1[[#This Row],[FechaDesembolso]],Tabla1[[#This Row],[Mes de Mora]])),TODAY(),"d"))</f>
        <v>57</v>
      </c>
    </row>
    <row r="199" spans="1:19" x14ac:dyDescent="0.25">
      <c r="A199" t="s">
        <v>1041</v>
      </c>
      <c r="B199" t="s">
        <v>600</v>
      </c>
      <c r="C199" s="8" t="s">
        <v>33</v>
      </c>
      <c r="D199" s="8" t="str">
        <f>_xlfn.XLOOKUP(B199,Clientes!A:A,Clientes!G:G,"No encontrado",0)</f>
        <v>AG07</v>
      </c>
      <c r="E199" s="9">
        <v>45451</v>
      </c>
      <c r="F199" s="11">
        <v>13633</v>
      </c>
      <c r="G199" s="10">
        <v>0.27271926475701364</v>
      </c>
      <c r="H199" s="10">
        <f t="shared" si="20"/>
        <v>2.0299604160321838E-2</v>
      </c>
      <c r="I199">
        <v>27</v>
      </c>
      <c r="J199" s="12">
        <f t="shared" si="21"/>
        <v>660.85841022540342</v>
      </c>
      <c r="K199">
        <f t="shared" ca="1" si="22"/>
        <v>26</v>
      </c>
      <c r="L199">
        <f ca="1">MIN(DATEDIF(Tabla1[[#This Row],[FechaDesembolso]],TODAY(),"m"),Tabla1[[#This Row],[Plazos (Meses)]])</f>
        <v>26</v>
      </c>
      <c r="M199">
        <f t="shared" ca="1" si="23"/>
        <v>1</v>
      </c>
      <c r="N199" s="8" t="s">
        <v>1251</v>
      </c>
      <c r="O199" s="8" t="s">
        <v>1253</v>
      </c>
      <c r="P199" s="13">
        <f t="shared" ca="1" si="25"/>
        <v>13633.000000000013</v>
      </c>
      <c r="Q19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4054.2445917864147</v>
      </c>
      <c r="R199" s="8" t="str">
        <f t="shared" ca="1" si="24"/>
        <v>Vigente</v>
      </c>
      <c r="S199" t="str">
        <f ca="1">IF(Tabla1[[#This Row],[En Mora]]="No","",DATEDIF((EDATE(Tabla1[[#This Row],[FechaDesembolso]],Tabla1[[#This Row],[Mes de Mora]])),TODAY(),"d"))</f>
        <v/>
      </c>
    </row>
    <row r="200" spans="1:19" x14ac:dyDescent="0.25">
      <c r="A200" t="s">
        <v>1042</v>
      </c>
      <c r="B200" t="s">
        <v>654</v>
      </c>
      <c r="C200" s="8" t="s">
        <v>39</v>
      </c>
      <c r="D200" s="8" t="str">
        <f>_xlfn.XLOOKUP(B200,Clientes!A:A,Clientes!G:G,"No encontrado",0)</f>
        <v>AG08</v>
      </c>
      <c r="E200" s="9">
        <v>46115</v>
      </c>
      <c r="F200" s="11">
        <v>4426</v>
      </c>
      <c r="G200" s="10">
        <v>0.29612129237979468</v>
      </c>
      <c r="H200" s="10">
        <f t="shared" si="20"/>
        <v>2.1849971361049825E-2</v>
      </c>
      <c r="I200">
        <v>19</v>
      </c>
      <c r="J200" s="12">
        <f t="shared" si="21"/>
        <v>287.13752844142169</v>
      </c>
      <c r="K200">
        <f t="shared" ca="1" si="22"/>
        <v>4</v>
      </c>
      <c r="L200">
        <f ca="1">MIN(DATEDIF(Tabla1[[#This Row],[FechaDesembolso]],TODAY(),"m"),Tabla1[[#This Row],[Plazos (Meses)]])</f>
        <v>4</v>
      </c>
      <c r="M200">
        <f t="shared" ca="1" si="23"/>
        <v>15</v>
      </c>
      <c r="N200" s="8" t="s">
        <v>1251</v>
      </c>
      <c r="O200" s="8" t="s">
        <v>1253</v>
      </c>
      <c r="P200" s="13">
        <f t="shared" ca="1" si="25"/>
        <v>4425.9999999999909</v>
      </c>
      <c r="Q20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216.7606400814762</v>
      </c>
      <c r="R200" s="8" t="str">
        <f t="shared" ca="1" si="24"/>
        <v>Vigente</v>
      </c>
      <c r="S200" t="str">
        <f ca="1">IF(Tabla1[[#This Row],[En Mora]]="No","",DATEDIF((EDATE(Tabla1[[#This Row],[FechaDesembolso]],Tabla1[[#This Row],[Mes de Mora]])),TODAY(),"d"))</f>
        <v/>
      </c>
    </row>
    <row r="201" spans="1:19" x14ac:dyDescent="0.25">
      <c r="A201" t="s">
        <v>1043</v>
      </c>
      <c r="B201" t="s">
        <v>447</v>
      </c>
      <c r="C201" s="8" t="s">
        <v>37</v>
      </c>
      <c r="D201" s="8" t="str">
        <f>_xlfn.XLOOKUP(B201,Clientes!A:A,Clientes!G:G,"No encontrado",0)</f>
        <v>AG08</v>
      </c>
      <c r="E201" s="9">
        <v>46214</v>
      </c>
      <c r="F201" s="11">
        <v>214428</v>
      </c>
      <c r="G201" s="10">
        <v>0.1174326234362484</v>
      </c>
      <c r="H201" s="10">
        <f t="shared" si="20"/>
        <v>9.2957523958561161E-3</v>
      </c>
      <c r="I201">
        <v>167</v>
      </c>
      <c r="J201" s="12">
        <f t="shared" si="21"/>
        <v>2533.5972153833945</v>
      </c>
      <c r="K201">
        <f t="shared" ca="1" si="22"/>
        <v>1</v>
      </c>
      <c r="L201">
        <f ca="1">MIN(DATEDIF(Tabla1[[#This Row],[FechaDesembolso]],TODAY(),"m"),Tabla1[[#This Row],[Plazos (Meses)]])</f>
        <v>1</v>
      </c>
      <c r="M201">
        <f t="shared" ca="1" si="23"/>
        <v>166</v>
      </c>
      <c r="N201" s="8" t="s">
        <v>1251</v>
      </c>
      <c r="O201" s="8" t="s">
        <v>1253</v>
      </c>
      <c r="P201" s="13">
        <f t="shared" ca="1" si="25"/>
        <v>214428.0000000002</v>
      </c>
      <c r="Q20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1249.5972153833945</v>
      </c>
      <c r="R201" s="8" t="str">
        <f t="shared" ca="1" si="24"/>
        <v>Vigente</v>
      </c>
      <c r="S201" t="str">
        <f ca="1">IF(Tabla1[[#This Row],[En Mora]]="No","",DATEDIF((EDATE(Tabla1[[#This Row],[FechaDesembolso]],Tabla1[[#This Row],[Mes de Mora]])),TODAY(),"d"))</f>
        <v/>
      </c>
    </row>
    <row r="202" spans="1:19" x14ac:dyDescent="0.25">
      <c r="A202" t="s">
        <v>1044</v>
      </c>
      <c r="B202" t="s">
        <v>450</v>
      </c>
      <c r="C202" s="8" t="s">
        <v>37</v>
      </c>
      <c r="D202" s="8" t="str">
        <f>_xlfn.XLOOKUP(B202,Clientes!A:A,Clientes!G:G,"No encontrado",0)</f>
        <v>AG06</v>
      </c>
      <c r="E202" s="9">
        <v>45728</v>
      </c>
      <c r="F202" s="11">
        <v>283226</v>
      </c>
      <c r="G202" s="10">
        <v>0.11457686883358743</v>
      </c>
      <c r="H202" s="10">
        <f t="shared" si="20"/>
        <v>9.0805505579154566E-3</v>
      </c>
      <c r="I202">
        <v>132</v>
      </c>
      <c r="J202" s="12">
        <f t="shared" si="21"/>
        <v>3691.1652987190146</v>
      </c>
      <c r="K202">
        <f t="shared" ca="1" si="22"/>
        <v>17</v>
      </c>
      <c r="L202">
        <f ca="1">MIN(DATEDIF(Tabla1[[#This Row],[FechaDesembolso]],TODAY(),"m"),Tabla1[[#This Row],[Plazos (Meses)]])</f>
        <v>17</v>
      </c>
      <c r="M202">
        <f t="shared" ca="1" si="23"/>
        <v>115</v>
      </c>
      <c r="N202" s="8" t="s">
        <v>1251</v>
      </c>
      <c r="O202" s="8" t="s">
        <v>1253</v>
      </c>
      <c r="P202" s="13">
        <f t="shared" ca="1" si="25"/>
        <v>283226.00000000111</v>
      </c>
      <c r="Q20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26273.734320647491</v>
      </c>
      <c r="R202" s="8" t="str">
        <f t="shared" ca="1" si="24"/>
        <v>Vigente</v>
      </c>
      <c r="S202" t="str">
        <f ca="1">IF(Tabla1[[#This Row],[En Mora]]="No","",DATEDIF((EDATE(Tabla1[[#This Row],[FechaDesembolso]],Tabla1[[#This Row],[Mes de Mora]])),TODAY(),"d"))</f>
        <v/>
      </c>
    </row>
    <row r="203" spans="1:19" x14ac:dyDescent="0.25">
      <c r="A203" t="s">
        <v>1045</v>
      </c>
      <c r="B203" t="s">
        <v>163</v>
      </c>
      <c r="C203" s="8" t="s">
        <v>35</v>
      </c>
      <c r="D203" s="8" t="str">
        <f>_xlfn.XLOOKUP(B203,Clientes!A:A,Clientes!G:G,"No encontrado",0)</f>
        <v>AG03</v>
      </c>
      <c r="E203" s="9">
        <v>46208</v>
      </c>
      <c r="F203" s="11">
        <v>26588</v>
      </c>
      <c r="G203" s="10">
        <v>0.20287159085206269</v>
      </c>
      <c r="H203" s="10">
        <f t="shared" si="20"/>
        <v>1.5511717758301069E-2</v>
      </c>
      <c r="I203">
        <v>14</v>
      </c>
      <c r="J203" s="12">
        <f t="shared" si="21"/>
        <v>2127.4479749568059</v>
      </c>
      <c r="K203">
        <f t="shared" ca="1" si="22"/>
        <v>1</v>
      </c>
      <c r="L203">
        <f ca="1">MIN(DATEDIF(Tabla1[[#This Row],[FechaDesembolso]],TODAY(),"m"),Tabla1[[#This Row],[Plazos (Meses)]])</f>
        <v>1</v>
      </c>
      <c r="M203">
        <f t="shared" ca="1" si="23"/>
        <v>13</v>
      </c>
      <c r="N203" s="8" t="s">
        <v>1251</v>
      </c>
      <c r="O203" s="8" t="s">
        <v>1253</v>
      </c>
      <c r="P203" s="13">
        <f t="shared" ca="1" si="25"/>
        <v>26588.000000000011</v>
      </c>
      <c r="Q20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228.30511781394878</v>
      </c>
      <c r="R203" s="8" t="str">
        <f t="shared" ca="1" si="24"/>
        <v>Vigente</v>
      </c>
      <c r="S203" t="str">
        <f ca="1">IF(Tabla1[[#This Row],[En Mora]]="No","",DATEDIF((EDATE(Tabla1[[#This Row],[FechaDesembolso]],Tabla1[[#This Row],[Mes de Mora]])),TODAY(),"d"))</f>
        <v/>
      </c>
    </row>
    <row r="204" spans="1:19" x14ac:dyDescent="0.25">
      <c r="A204" t="s">
        <v>1046</v>
      </c>
      <c r="B204" t="s">
        <v>173</v>
      </c>
      <c r="C204" s="8" t="s">
        <v>33</v>
      </c>
      <c r="D204" s="8" t="str">
        <f>_xlfn.XLOOKUP(B204,Clientes!A:A,Clientes!G:G,"No encontrado",0)</f>
        <v>AG07</v>
      </c>
      <c r="E204" s="9">
        <v>45206</v>
      </c>
      <c r="F204" s="11">
        <v>45318</v>
      </c>
      <c r="G204" s="10">
        <v>0.25053098026797388</v>
      </c>
      <c r="H204" s="10">
        <f t="shared" si="20"/>
        <v>1.8805321194014457E-2</v>
      </c>
      <c r="I204">
        <v>41</v>
      </c>
      <c r="J204" s="12">
        <f t="shared" si="21"/>
        <v>1595.5150829978484</v>
      </c>
      <c r="K204">
        <f t="shared" ca="1" si="22"/>
        <v>6</v>
      </c>
      <c r="L204">
        <f ca="1">MIN(DATEDIF(Tabla1[[#This Row],[FechaDesembolso]],TODAY(),"m"),Tabla1[[#This Row],[Plazos (Meses)]])</f>
        <v>34</v>
      </c>
      <c r="M204">
        <f t="shared" ca="1" si="23"/>
        <v>35</v>
      </c>
      <c r="N204" s="8" t="s">
        <v>1252</v>
      </c>
      <c r="O204" s="8">
        <v>6</v>
      </c>
      <c r="P204" s="13">
        <f t="shared" ca="1" si="25"/>
        <v>45317.999999999985</v>
      </c>
      <c r="Q20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2941.1880589627003</v>
      </c>
      <c r="R204" s="8" t="str">
        <f t="shared" si="24"/>
        <v>En mora</v>
      </c>
      <c r="S204">
        <f ca="1">IF(Tabla1[[#This Row],[En Mora]]="No","",DATEDIF((EDATE(Tabla1[[#This Row],[FechaDesembolso]],Tabla1[[#This Row],[Mes de Mora]])),TODAY(),"d"))</f>
        <v>857</v>
      </c>
    </row>
    <row r="205" spans="1:19" x14ac:dyDescent="0.25">
      <c r="A205" t="s">
        <v>1047</v>
      </c>
      <c r="B205" t="s">
        <v>266</v>
      </c>
      <c r="C205" s="8" t="s">
        <v>37</v>
      </c>
      <c r="D205" s="8" t="str">
        <f>_xlfn.XLOOKUP(B205,Clientes!A:A,Clientes!G:G,"No encontrado",0)</f>
        <v>AG06</v>
      </c>
      <c r="E205" s="9">
        <v>45925</v>
      </c>
      <c r="F205" s="11">
        <v>249980</v>
      </c>
      <c r="G205" s="10">
        <v>9.8632022519009738E-2</v>
      </c>
      <c r="H205" s="10">
        <f t="shared" si="20"/>
        <v>7.8696197847676341E-3</v>
      </c>
      <c r="I205">
        <v>97</v>
      </c>
      <c r="J205" s="12">
        <f t="shared" si="21"/>
        <v>3694.3317468222817</v>
      </c>
      <c r="K205">
        <f t="shared" ca="1" si="22"/>
        <v>10</v>
      </c>
      <c r="L205">
        <f ca="1">MIN(DATEDIF(Tabla1[[#This Row],[FechaDesembolso]],TODAY(),"m"),Tabla1[[#This Row],[Plazos (Meses)]])</f>
        <v>10</v>
      </c>
      <c r="M205">
        <f t="shared" ca="1" si="23"/>
        <v>87</v>
      </c>
      <c r="N205" s="8" t="s">
        <v>1251</v>
      </c>
      <c r="O205" s="8" t="s">
        <v>1253</v>
      </c>
      <c r="P205" s="13">
        <f t="shared" ca="1" si="25"/>
        <v>249979.99999999983</v>
      </c>
      <c r="Q20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11172.183447604262</v>
      </c>
      <c r="R205" s="8" t="str">
        <f t="shared" ca="1" si="24"/>
        <v>Vigente</v>
      </c>
      <c r="S205" t="str">
        <f ca="1">IF(Tabla1[[#This Row],[En Mora]]="No","",DATEDIF((EDATE(Tabla1[[#This Row],[FechaDesembolso]],Tabla1[[#This Row],[Mes de Mora]])),TODAY(),"d"))</f>
        <v/>
      </c>
    </row>
    <row r="206" spans="1:19" x14ac:dyDescent="0.25">
      <c r="A206" t="s">
        <v>1048</v>
      </c>
      <c r="B206" t="s">
        <v>347</v>
      </c>
      <c r="C206" s="8" t="s">
        <v>37</v>
      </c>
      <c r="D206" s="8" t="str">
        <f>_xlfn.XLOOKUP(B206,Clientes!A:A,Clientes!G:G,"No encontrado",0)</f>
        <v>AG04</v>
      </c>
      <c r="E206" s="9">
        <v>45661</v>
      </c>
      <c r="F206" s="11">
        <v>55666</v>
      </c>
      <c r="G206" s="10">
        <v>0.11527583440218461</v>
      </c>
      <c r="H206" s="10">
        <f t="shared" si="20"/>
        <v>9.1332693620926886E-3</v>
      </c>
      <c r="I206">
        <v>107</v>
      </c>
      <c r="J206" s="12">
        <f t="shared" si="21"/>
        <v>817.40196750869586</v>
      </c>
      <c r="K206">
        <f t="shared" ca="1" si="22"/>
        <v>19</v>
      </c>
      <c r="L206">
        <f ca="1">MIN(DATEDIF(Tabla1[[#This Row],[FechaDesembolso]],TODAY(),"m"),Tabla1[[#This Row],[Plazos (Meses)]])</f>
        <v>19</v>
      </c>
      <c r="M206">
        <f t="shared" ca="1" si="23"/>
        <v>88</v>
      </c>
      <c r="N206" s="8" t="s">
        <v>1251</v>
      </c>
      <c r="O206" s="8" t="s">
        <v>1253</v>
      </c>
      <c r="P206" s="13">
        <f t="shared" ca="1" si="25"/>
        <v>55666.000000000007</v>
      </c>
      <c r="Q20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5646.0205602353135</v>
      </c>
      <c r="R206" s="8" t="str">
        <f t="shared" ca="1" si="24"/>
        <v>Vigente</v>
      </c>
      <c r="S206" t="str">
        <f ca="1">IF(Tabla1[[#This Row],[En Mora]]="No","",DATEDIF((EDATE(Tabla1[[#This Row],[FechaDesembolso]],Tabla1[[#This Row],[Mes de Mora]])),TODAY(),"d"))</f>
        <v/>
      </c>
    </row>
    <row r="207" spans="1:19" x14ac:dyDescent="0.25">
      <c r="A207" t="s">
        <v>1049</v>
      </c>
      <c r="B207" t="s">
        <v>332</v>
      </c>
      <c r="C207" s="8" t="s">
        <v>35</v>
      </c>
      <c r="D207" s="8" t="str">
        <f>_xlfn.XLOOKUP(B207,Clientes!A:A,Clientes!G:G,"No encontrado",0)</f>
        <v>AG06</v>
      </c>
      <c r="E207" s="9">
        <v>44985</v>
      </c>
      <c r="F207" s="11">
        <v>59486</v>
      </c>
      <c r="G207" s="10">
        <v>0.34196106212590227</v>
      </c>
      <c r="H207" s="10">
        <f t="shared" si="20"/>
        <v>2.4813865989191664E-2</v>
      </c>
      <c r="I207">
        <v>23</v>
      </c>
      <c r="J207" s="12">
        <f t="shared" si="21"/>
        <v>3425.3249104555825</v>
      </c>
      <c r="K207">
        <f t="shared" ca="1" si="22"/>
        <v>23</v>
      </c>
      <c r="L207">
        <f ca="1">MIN(DATEDIF(Tabla1[[#This Row],[FechaDesembolso]],TODAY(),"m"),Tabla1[[#This Row],[Plazos (Meses)]])</f>
        <v>23</v>
      </c>
      <c r="M207">
        <f t="shared" ca="1" si="23"/>
        <v>0</v>
      </c>
      <c r="N207" s="8" t="s">
        <v>1251</v>
      </c>
      <c r="O207" s="8" t="s">
        <v>1253</v>
      </c>
      <c r="P207" s="13">
        <f t="shared" ca="1" si="25"/>
        <v>0</v>
      </c>
      <c r="Q20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07" s="8" t="str">
        <f t="shared" ca="1" si="24"/>
        <v>Cancelado</v>
      </c>
      <c r="S207" t="str">
        <f ca="1">IF(Tabla1[[#This Row],[En Mora]]="No","",DATEDIF((EDATE(Tabla1[[#This Row],[FechaDesembolso]],Tabla1[[#This Row],[Mes de Mora]])),TODAY(),"d"))</f>
        <v/>
      </c>
    </row>
    <row r="208" spans="1:19" x14ac:dyDescent="0.25">
      <c r="A208" t="s">
        <v>1050</v>
      </c>
      <c r="B208" t="s">
        <v>585</v>
      </c>
      <c r="C208" s="8" t="s">
        <v>37</v>
      </c>
      <c r="D208" s="8" t="str">
        <f>_xlfn.XLOOKUP(B208,Clientes!A:A,Clientes!G:G,"No encontrado",0)</f>
        <v>AG08</v>
      </c>
      <c r="E208" s="9">
        <v>44573</v>
      </c>
      <c r="F208" s="11">
        <v>49548</v>
      </c>
      <c r="G208" s="10">
        <v>9.7992330238079836E-2</v>
      </c>
      <c r="H208" s="10">
        <f t="shared" si="20"/>
        <v>7.8207030012034107E-3</v>
      </c>
      <c r="I208">
        <v>138</v>
      </c>
      <c r="J208" s="12">
        <f t="shared" si="21"/>
        <v>588.26036719969431</v>
      </c>
      <c r="K208">
        <f t="shared" ca="1" si="22"/>
        <v>9</v>
      </c>
      <c r="L208">
        <f ca="1">MIN(DATEDIF(Tabla1[[#This Row],[FechaDesembolso]],TODAY(),"m"),Tabla1[[#This Row],[Plazos (Meses)]])</f>
        <v>55</v>
      </c>
      <c r="M208">
        <f t="shared" ca="1" si="23"/>
        <v>129</v>
      </c>
      <c r="N208" s="8" t="s">
        <v>1252</v>
      </c>
      <c r="O208" s="8">
        <v>9</v>
      </c>
      <c r="P208" s="13">
        <f t="shared" ca="1" si="25"/>
        <v>49548.000000000051</v>
      </c>
      <c r="Q20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2062.9520004494225</v>
      </c>
      <c r="R208" s="8" t="str">
        <f t="shared" si="24"/>
        <v>En mora</v>
      </c>
      <c r="S208">
        <f ca="1">IF(Tabla1[[#This Row],[En Mora]]="No","",DATEDIF((EDATE(Tabla1[[#This Row],[FechaDesembolso]],Tabla1[[#This Row],[Mes de Mora]])),TODAY(),"d"))</f>
        <v>1400</v>
      </c>
    </row>
    <row r="209" spans="1:19" x14ac:dyDescent="0.25">
      <c r="A209" t="s">
        <v>1051</v>
      </c>
      <c r="B209" t="s">
        <v>362</v>
      </c>
      <c r="C209" s="8" t="s">
        <v>39</v>
      </c>
      <c r="D209" s="8" t="str">
        <f>_xlfn.XLOOKUP(B209,Clientes!A:A,Clientes!G:G,"No encontrado",0)</f>
        <v>AG04</v>
      </c>
      <c r="E209" s="9">
        <v>45870</v>
      </c>
      <c r="F209" s="11">
        <v>13501</v>
      </c>
      <c r="G209" s="10">
        <v>0.26055043601280065</v>
      </c>
      <c r="H209" s="10">
        <f t="shared" si="20"/>
        <v>1.9483071951376774E-2</v>
      </c>
      <c r="I209">
        <v>12</v>
      </c>
      <c r="J209" s="12">
        <f t="shared" si="21"/>
        <v>1272.5996350335763</v>
      </c>
      <c r="K209">
        <f t="shared" ca="1" si="22"/>
        <v>12</v>
      </c>
      <c r="L209">
        <f ca="1">MIN(DATEDIF(Tabla1[[#This Row],[FechaDesembolso]],TODAY(),"m"),Tabla1[[#This Row],[Plazos (Meses)]])</f>
        <v>12</v>
      </c>
      <c r="M209">
        <f t="shared" ca="1" si="23"/>
        <v>0</v>
      </c>
      <c r="N209" s="8" t="s">
        <v>1251</v>
      </c>
      <c r="O209" s="8" t="s">
        <v>1253</v>
      </c>
      <c r="P209" s="13">
        <f t="shared" ca="1" si="25"/>
        <v>0</v>
      </c>
      <c r="Q20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09" s="8" t="str">
        <f t="shared" ca="1" si="24"/>
        <v>Cancelado</v>
      </c>
      <c r="S209" t="str">
        <f ca="1">IF(Tabla1[[#This Row],[En Mora]]="No","",DATEDIF((EDATE(Tabla1[[#This Row],[FechaDesembolso]],Tabla1[[#This Row],[Mes de Mora]])),TODAY(),"d"))</f>
        <v/>
      </c>
    </row>
    <row r="210" spans="1:19" x14ac:dyDescent="0.25">
      <c r="A210" t="s">
        <v>1052</v>
      </c>
      <c r="B210" t="s">
        <v>426</v>
      </c>
      <c r="C210" s="8" t="s">
        <v>31</v>
      </c>
      <c r="D210" s="8" t="str">
        <f>_xlfn.XLOOKUP(B210,Clientes!A:A,Clientes!G:G,"No encontrado",0)</f>
        <v>AG05</v>
      </c>
      <c r="E210" s="9">
        <v>45392</v>
      </c>
      <c r="F210" s="11">
        <v>3969</v>
      </c>
      <c r="G210" s="10">
        <v>0.37163139485307584</v>
      </c>
      <c r="H210" s="10">
        <f t="shared" si="20"/>
        <v>2.6683190208707019E-2</v>
      </c>
      <c r="I210">
        <v>29</v>
      </c>
      <c r="J210" s="12">
        <f t="shared" si="21"/>
        <v>198.30792317084905</v>
      </c>
      <c r="K210">
        <f t="shared" ca="1" si="22"/>
        <v>28</v>
      </c>
      <c r="L210">
        <f ca="1">MIN(DATEDIF(Tabla1[[#This Row],[FechaDesembolso]],TODAY(),"m"),Tabla1[[#This Row],[Plazos (Meses)]])</f>
        <v>28</v>
      </c>
      <c r="M210">
        <f t="shared" ca="1" si="23"/>
        <v>1</v>
      </c>
      <c r="N210" s="8" t="s">
        <v>1251</v>
      </c>
      <c r="O210" s="8" t="s">
        <v>1253</v>
      </c>
      <c r="P210" s="13">
        <f t="shared" ca="1" si="25"/>
        <v>3969.0000000000032</v>
      </c>
      <c r="Q21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1720.4839177492904</v>
      </c>
      <c r="R210" s="8" t="str">
        <f t="shared" ca="1" si="24"/>
        <v>Vigente</v>
      </c>
      <c r="S210" t="str">
        <f ca="1">IF(Tabla1[[#This Row],[En Mora]]="No","",DATEDIF((EDATE(Tabla1[[#This Row],[FechaDesembolso]],Tabla1[[#This Row],[Mes de Mora]])),TODAY(),"d"))</f>
        <v/>
      </c>
    </row>
    <row r="211" spans="1:19" x14ac:dyDescent="0.25">
      <c r="A211" t="s">
        <v>1053</v>
      </c>
      <c r="B211" t="s">
        <v>552</v>
      </c>
      <c r="C211" s="8" t="s">
        <v>39</v>
      </c>
      <c r="D211" s="8" t="str">
        <f>_xlfn.XLOOKUP(B211,Clientes!A:A,Clientes!G:G,"No encontrado",0)</f>
        <v>AG05</v>
      </c>
      <c r="E211" s="9">
        <v>45867</v>
      </c>
      <c r="F211" s="11">
        <v>14440</v>
      </c>
      <c r="G211" s="10">
        <v>0.24914862382876013</v>
      </c>
      <c r="H211" s="10">
        <f t="shared" si="20"/>
        <v>1.8711423337654187E-2</v>
      </c>
      <c r="I211">
        <v>8</v>
      </c>
      <c r="J211" s="12">
        <f t="shared" si="21"/>
        <v>1960.2694539841104</v>
      </c>
      <c r="K211">
        <f t="shared" ca="1" si="22"/>
        <v>8</v>
      </c>
      <c r="L211">
        <f ca="1">MIN(DATEDIF(Tabla1[[#This Row],[FechaDesembolso]],TODAY(),"m"),Tabla1[[#This Row],[Plazos (Meses)]])</f>
        <v>8</v>
      </c>
      <c r="M211">
        <f t="shared" ca="1" si="23"/>
        <v>0</v>
      </c>
      <c r="N211" s="8" t="s">
        <v>1251</v>
      </c>
      <c r="O211" s="8" t="s">
        <v>1253</v>
      </c>
      <c r="P211" s="13">
        <f t="shared" ca="1" si="25"/>
        <v>0</v>
      </c>
      <c r="Q21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11" s="8" t="str">
        <f t="shared" ca="1" si="24"/>
        <v>Cancelado</v>
      </c>
      <c r="S211" t="str">
        <f ca="1">IF(Tabla1[[#This Row],[En Mora]]="No","",DATEDIF((EDATE(Tabla1[[#This Row],[FechaDesembolso]],Tabla1[[#This Row],[Mes de Mora]])),TODAY(),"d"))</f>
        <v/>
      </c>
    </row>
    <row r="212" spans="1:19" x14ac:dyDescent="0.25">
      <c r="A212" t="s">
        <v>1054</v>
      </c>
      <c r="B212" t="s">
        <v>89</v>
      </c>
      <c r="C212" s="8" t="s">
        <v>33</v>
      </c>
      <c r="D212" s="8" t="str">
        <f>_xlfn.XLOOKUP(B212,Clientes!A:A,Clientes!G:G,"No encontrado",0)</f>
        <v>AG07</v>
      </c>
      <c r="E212" s="9">
        <v>46207</v>
      </c>
      <c r="F212" s="11">
        <v>47753</v>
      </c>
      <c r="G212" s="10">
        <v>0.36355991432166673</v>
      </c>
      <c r="H212" s="10">
        <f t="shared" si="20"/>
        <v>2.6178360200839412E-2</v>
      </c>
      <c r="I212">
        <v>30</v>
      </c>
      <c r="J212" s="12">
        <f t="shared" si="21"/>
        <v>2317.5229731865975</v>
      </c>
      <c r="K212">
        <f t="shared" ca="1" si="22"/>
        <v>1</v>
      </c>
      <c r="L212">
        <f ca="1">MIN(DATEDIF(Tabla1[[#This Row],[FechaDesembolso]],TODAY(),"m"),Tabla1[[#This Row],[Plazos (Meses)]])</f>
        <v>1</v>
      </c>
      <c r="M212">
        <f t="shared" ca="1" si="23"/>
        <v>29</v>
      </c>
      <c r="N212" s="8" t="s">
        <v>1251</v>
      </c>
      <c r="O212" s="8" t="s">
        <v>1253</v>
      </c>
      <c r="P212" s="13">
        <f t="shared" ca="1" si="25"/>
        <v>47753.00000000008</v>
      </c>
      <c r="Q21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725.75630651993072</v>
      </c>
      <c r="R212" s="8" t="str">
        <f t="shared" ca="1" si="24"/>
        <v>Vigente</v>
      </c>
      <c r="S212" t="str">
        <f ca="1">IF(Tabla1[[#This Row],[En Mora]]="No","",DATEDIF((EDATE(Tabla1[[#This Row],[FechaDesembolso]],Tabla1[[#This Row],[Mes de Mora]])),TODAY(),"d"))</f>
        <v/>
      </c>
    </row>
    <row r="213" spans="1:19" x14ac:dyDescent="0.25">
      <c r="A213" t="s">
        <v>1055</v>
      </c>
      <c r="B213" t="s">
        <v>678</v>
      </c>
      <c r="C213" s="8" t="s">
        <v>31</v>
      </c>
      <c r="D213" s="8" t="str">
        <f>_xlfn.XLOOKUP(B213,Clientes!A:A,Clientes!G:G,"No encontrado",0)</f>
        <v>AG05</v>
      </c>
      <c r="E213" s="9">
        <v>45597</v>
      </c>
      <c r="F213" s="11">
        <v>8135</v>
      </c>
      <c r="G213" s="10">
        <v>0.40942675271876167</v>
      </c>
      <c r="H213" s="10">
        <f t="shared" si="20"/>
        <v>2.9011454646886037E-2</v>
      </c>
      <c r="I213">
        <v>17</v>
      </c>
      <c r="J213" s="12">
        <f t="shared" si="21"/>
        <v>612.96617090071345</v>
      </c>
      <c r="K213">
        <f t="shared" ca="1" si="22"/>
        <v>17</v>
      </c>
      <c r="L213">
        <f ca="1">MIN(DATEDIF(Tabla1[[#This Row],[FechaDesembolso]],TODAY(),"m"),Tabla1[[#This Row],[Plazos (Meses)]])</f>
        <v>17</v>
      </c>
      <c r="M213">
        <f t="shared" ca="1" si="23"/>
        <v>0</v>
      </c>
      <c r="N213" s="8" t="s">
        <v>1251</v>
      </c>
      <c r="O213" s="8" t="s">
        <v>1253</v>
      </c>
      <c r="P213" s="13">
        <f t="shared" ca="1" si="25"/>
        <v>0</v>
      </c>
      <c r="Q21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13" s="8" t="str">
        <f t="shared" ca="1" si="24"/>
        <v>Cancelado</v>
      </c>
      <c r="S213" t="str">
        <f ca="1">IF(Tabla1[[#This Row],[En Mora]]="No","",DATEDIF((EDATE(Tabla1[[#This Row],[FechaDesembolso]],Tabla1[[#This Row],[Mes de Mora]])),TODAY(),"d"))</f>
        <v/>
      </c>
    </row>
    <row r="214" spans="1:19" x14ac:dyDescent="0.25">
      <c r="A214" t="s">
        <v>1056</v>
      </c>
      <c r="B214" t="s">
        <v>708</v>
      </c>
      <c r="C214" s="8" t="s">
        <v>33</v>
      </c>
      <c r="D214" s="8" t="str">
        <f>_xlfn.XLOOKUP(B214,Clientes!A:A,Clientes!G:G,"No encontrado",0)</f>
        <v>AG05</v>
      </c>
      <c r="E214" s="9">
        <v>46160</v>
      </c>
      <c r="F214" s="11">
        <v>7835</v>
      </c>
      <c r="G214" s="10">
        <v>0.27424614453022422</v>
      </c>
      <c r="H214" s="10">
        <f t="shared" si="20"/>
        <v>2.0401552465762141E-2</v>
      </c>
      <c r="I214">
        <v>41</v>
      </c>
      <c r="J214" s="12">
        <f t="shared" si="21"/>
        <v>283.86939061424158</v>
      </c>
      <c r="K214">
        <f t="shared" ca="1" si="22"/>
        <v>2</v>
      </c>
      <c r="L214">
        <f ca="1">MIN(DATEDIF(Tabla1[[#This Row],[FechaDesembolso]],TODAY(),"m"),Tabla1[[#This Row],[Plazos (Meses)]])</f>
        <v>2</v>
      </c>
      <c r="M214">
        <f t="shared" ca="1" si="23"/>
        <v>39</v>
      </c>
      <c r="N214" s="8" t="s">
        <v>1251</v>
      </c>
      <c r="O214" s="8" t="s">
        <v>1253</v>
      </c>
      <c r="P214" s="13">
        <f t="shared" ca="1" si="25"/>
        <v>7834.9999999999964</v>
      </c>
      <c r="Q21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185.54365927726369</v>
      </c>
      <c r="R214" s="8" t="str">
        <f t="shared" ca="1" si="24"/>
        <v>Vigente</v>
      </c>
      <c r="S214" t="str">
        <f ca="1">IF(Tabla1[[#This Row],[En Mora]]="No","",DATEDIF((EDATE(Tabla1[[#This Row],[FechaDesembolso]],Tabla1[[#This Row],[Mes de Mora]])),TODAY(),"d"))</f>
        <v/>
      </c>
    </row>
    <row r="215" spans="1:19" x14ac:dyDescent="0.25">
      <c r="A215" t="s">
        <v>1057</v>
      </c>
      <c r="B215" t="s">
        <v>435</v>
      </c>
      <c r="C215" s="8" t="s">
        <v>37</v>
      </c>
      <c r="D215" s="8" t="str">
        <f>_xlfn.XLOOKUP(B215,Clientes!A:A,Clientes!G:G,"No encontrado",0)</f>
        <v>AG01</v>
      </c>
      <c r="E215" s="9">
        <v>46129</v>
      </c>
      <c r="F215" s="11">
        <v>78659</v>
      </c>
      <c r="G215" s="10">
        <v>0.12706270480590839</v>
      </c>
      <c r="H215" s="10">
        <f t="shared" si="20"/>
        <v>1.0017751071280889E-2</v>
      </c>
      <c r="I215">
        <v>84</v>
      </c>
      <c r="J215" s="12">
        <f t="shared" si="21"/>
        <v>1389.4425165237574</v>
      </c>
      <c r="K215">
        <f t="shared" ca="1" si="22"/>
        <v>3</v>
      </c>
      <c r="L215">
        <f ca="1">MIN(DATEDIF(Tabla1[[#This Row],[FechaDesembolso]],TODAY(),"m"),Tabla1[[#This Row],[Plazos (Meses)]])</f>
        <v>3</v>
      </c>
      <c r="M215">
        <f t="shared" ca="1" si="23"/>
        <v>81</v>
      </c>
      <c r="N215" s="8" t="s">
        <v>1251</v>
      </c>
      <c r="O215" s="8" t="s">
        <v>1253</v>
      </c>
      <c r="P215" s="13">
        <f t="shared" ca="1" si="25"/>
        <v>78659.00000000016</v>
      </c>
      <c r="Q21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1359.0775495712721</v>
      </c>
      <c r="R215" s="8" t="str">
        <f t="shared" ca="1" si="24"/>
        <v>Vigente</v>
      </c>
      <c r="S215" t="str">
        <f ca="1">IF(Tabla1[[#This Row],[En Mora]]="No","",DATEDIF((EDATE(Tabla1[[#This Row],[FechaDesembolso]],Tabla1[[#This Row],[Mes de Mora]])),TODAY(),"d"))</f>
        <v/>
      </c>
    </row>
    <row r="216" spans="1:19" x14ac:dyDescent="0.25">
      <c r="A216" t="s">
        <v>1058</v>
      </c>
      <c r="B216" t="s">
        <v>768</v>
      </c>
      <c r="C216" s="8" t="s">
        <v>39</v>
      </c>
      <c r="D216" s="8" t="str">
        <f>_xlfn.XLOOKUP(B216,Clientes!A:A,Clientes!G:G,"No encontrado",0)</f>
        <v>AG03</v>
      </c>
      <c r="E216" s="9">
        <v>46210</v>
      </c>
      <c r="F216" s="11">
        <v>17536</v>
      </c>
      <c r="G216" s="10">
        <v>0.31593974116072054</v>
      </c>
      <c r="H216" s="10">
        <f t="shared" si="20"/>
        <v>2.3142991192662388E-2</v>
      </c>
      <c r="I216">
        <v>21</v>
      </c>
      <c r="J216" s="12">
        <f t="shared" si="21"/>
        <v>1063.7782171612553</v>
      </c>
      <c r="K216">
        <f t="shared" ca="1" si="22"/>
        <v>1</v>
      </c>
      <c r="L216">
        <f ca="1">MIN(DATEDIF(Tabla1[[#This Row],[FechaDesembolso]],TODAY(),"m"),Tabla1[[#This Row],[Plazos (Meses)]])</f>
        <v>1</v>
      </c>
      <c r="M216">
        <f t="shared" ca="1" si="23"/>
        <v>20</v>
      </c>
      <c r="N216" s="8" t="s">
        <v>1251</v>
      </c>
      <c r="O216" s="8" t="s">
        <v>1253</v>
      </c>
      <c r="P216" s="13">
        <f t="shared" ca="1" si="25"/>
        <v>17536.000000000029</v>
      </c>
      <c r="Q21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228.73059811363626</v>
      </c>
      <c r="R216" s="8" t="str">
        <f t="shared" ca="1" si="24"/>
        <v>Vigente</v>
      </c>
      <c r="S216" t="str">
        <f ca="1">IF(Tabla1[[#This Row],[En Mora]]="No","",DATEDIF((EDATE(Tabla1[[#This Row],[FechaDesembolso]],Tabla1[[#This Row],[Mes de Mora]])),TODAY(),"d"))</f>
        <v/>
      </c>
    </row>
    <row r="217" spans="1:19" x14ac:dyDescent="0.25">
      <c r="A217" t="s">
        <v>1059</v>
      </c>
      <c r="B217" t="s">
        <v>618</v>
      </c>
      <c r="C217" s="8" t="s">
        <v>37</v>
      </c>
      <c r="D217" s="8" t="str">
        <f>_xlfn.XLOOKUP(B217,Clientes!A:A,Clientes!G:G,"No encontrado",0)</f>
        <v>AG01</v>
      </c>
      <c r="E217" s="9">
        <v>46073</v>
      </c>
      <c r="F217" s="11">
        <v>135164</v>
      </c>
      <c r="G217" s="10">
        <v>9.448041746901012E-2</v>
      </c>
      <c r="H217" s="10">
        <f t="shared" si="20"/>
        <v>7.5516833886475343E-3</v>
      </c>
      <c r="I217">
        <v>175</v>
      </c>
      <c r="J217" s="12">
        <f t="shared" si="21"/>
        <v>1394.5167367942579</v>
      </c>
      <c r="K217">
        <f t="shared" ca="1" si="22"/>
        <v>5</v>
      </c>
      <c r="L217">
        <f ca="1">MIN(DATEDIF(Tabla1[[#This Row],[FechaDesembolso]],TODAY(),"m"),Tabla1[[#This Row],[Plazos (Meses)]])</f>
        <v>5</v>
      </c>
      <c r="M217">
        <f t="shared" ca="1" si="23"/>
        <v>170</v>
      </c>
      <c r="N217" s="8" t="s">
        <v>1251</v>
      </c>
      <c r="O217" s="8" t="s">
        <v>1253</v>
      </c>
      <c r="P217" s="13">
        <f t="shared" ca="1" si="25"/>
        <v>135164.00000000041</v>
      </c>
      <c r="Q21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3110.7551125427185</v>
      </c>
      <c r="R217" s="8" t="str">
        <f t="shared" ca="1" si="24"/>
        <v>Vigente</v>
      </c>
      <c r="S217" t="str">
        <f ca="1">IF(Tabla1[[#This Row],[En Mora]]="No","",DATEDIF((EDATE(Tabla1[[#This Row],[FechaDesembolso]],Tabla1[[#This Row],[Mes de Mora]])),TODAY(),"d"))</f>
        <v/>
      </c>
    </row>
    <row r="218" spans="1:19" x14ac:dyDescent="0.25">
      <c r="A218" t="s">
        <v>1060</v>
      </c>
      <c r="B218" t="s">
        <v>540</v>
      </c>
      <c r="C218" s="8" t="s">
        <v>33</v>
      </c>
      <c r="D218" s="8" t="str">
        <f>_xlfn.XLOOKUP(B218,Clientes!A:A,Clientes!G:G,"No encontrado",0)</f>
        <v>AG05</v>
      </c>
      <c r="E218" s="9">
        <v>45308</v>
      </c>
      <c r="F218" s="11">
        <v>44490</v>
      </c>
      <c r="G218" s="10">
        <v>0.34379559222254918</v>
      </c>
      <c r="H218" s="10">
        <f t="shared" si="20"/>
        <v>2.4930540694225067E-2</v>
      </c>
      <c r="I218">
        <v>29</v>
      </c>
      <c r="J218" s="12">
        <f t="shared" si="21"/>
        <v>2173.214621415435</v>
      </c>
      <c r="K218">
        <f t="shared" ca="1" si="22"/>
        <v>21</v>
      </c>
      <c r="L218">
        <f ca="1">MIN(DATEDIF(Tabla1[[#This Row],[FechaDesembolso]],TODAY(),"m"),Tabla1[[#This Row],[Plazos (Meses)]])</f>
        <v>29</v>
      </c>
      <c r="M218">
        <f t="shared" ca="1" si="23"/>
        <v>8</v>
      </c>
      <c r="N218" s="8" t="s">
        <v>1252</v>
      </c>
      <c r="O218" s="8">
        <v>21</v>
      </c>
      <c r="P218" s="13">
        <f t="shared" ca="1" si="25"/>
        <v>44490</v>
      </c>
      <c r="Q21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13420.610497999998</v>
      </c>
      <c r="R218" s="8" t="str">
        <f t="shared" si="24"/>
        <v>En mora</v>
      </c>
      <c r="S218">
        <f ca="1">IF(Tabla1[[#This Row],[En Mora]]="No","",DATEDIF((EDATE(Tabla1[[#This Row],[FechaDesembolso]],Tabla1[[#This Row],[Mes de Mora]])),TODAY(),"d"))</f>
        <v>299</v>
      </c>
    </row>
    <row r="219" spans="1:19" x14ac:dyDescent="0.25">
      <c r="A219" t="s">
        <v>1061</v>
      </c>
      <c r="B219" t="s">
        <v>759</v>
      </c>
      <c r="C219" s="8" t="s">
        <v>35</v>
      </c>
      <c r="D219" s="8" t="str">
        <f>_xlfn.XLOOKUP(B219,Clientes!A:A,Clientes!G:G,"No encontrado",0)</f>
        <v>AG02</v>
      </c>
      <c r="E219" s="9">
        <v>46190</v>
      </c>
      <c r="F219" s="11">
        <v>42714</v>
      </c>
      <c r="G219" s="10">
        <v>0.2363139125380867</v>
      </c>
      <c r="H219" s="10">
        <f t="shared" si="20"/>
        <v>1.7835036609246568E-2</v>
      </c>
      <c r="I219">
        <v>37</v>
      </c>
      <c r="J219" s="12">
        <f t="shared" si="21"/>
        <v>1586.8300973753824</v>
      </c>
      <c r="K219">
        <f t="shared" ca="1" si="22"/>
        <v>1</v>
      </c>
      <c r="L219">
        <f ca="1">MIN(DATEDIF(Tabla1[[#This Row],[FechaDesembolso]],TODAY(),"m"),Tabla1[[#This Row],[Plazos (Meses)]])</f>
        <v>1</v>
      </c>
      <c r="M219">
        <f t="shared" ca="1" si="23"/>
        <v>36</v>
      </c>
      <c r="N219" s="8" t="s">
        <v>1251</v>
      </c>
      <c r="O219" s="8" t="s">
        <v>1253</v>
      </c>
      <c r="P219" s="13">
        <f t="shared" ca="1" si="25"/>
        <v>42714.000000000007</v>
      </c>
      <c r="Q21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432.39766494294997</v>
      </c>
      <c r="R219" s="8" t="str">
        <f t="shared" ca="1" si="24"/>
        <v>Vigente</v>
      </c>
      <c r="S219" t="str">
        <f ca="1">IF(Tabla1[[#This Row],[En Mora]]="No","",DATEDIF((EDATE(Tabla1[[#This Row],[FechaDesembolso]],Tabla1[[#This Row],[Mes de Mora]])),TODAY(),"d"))</f>
        <v/>
      </c>
    </row>
    <row r="220" spans="1:19" x14ac:dyDescent="0.25">
      <c r="A220" t="s">
        <v>1062</v>
      </c>
      <c r="B220" t="s">
        <v>294</v>
      </c>
      <c r="C220" s="8" t="s">
        <v>31</v>
      </c>
      <c r="D220" s="8" t="str">
        <f>_xlfn.XLOOKUP(B220,Clientes!A:A,Clientes!G:G,"No encontrado",0)</f>
        <v>AG01</v>
      </c>
      <c r="E220" s="9">
        <v>45477</v>
      </c>
      <c r="F220" s="11">
        <v>4867</v>
      </c>
      <c r="G220" s="10">
        <v>0.53036116626276508</v>
      </c>
      <c r="H220" s="10">
        <f t="shared" si="20"/>
        <v>3.6094801607634119E-2</v>
      </c>
      <c r="I220">
        <v>19</v>
      </c>
      <c r="J220" s="12">
        <f t="shared" si="21"/>
        <v>358.37925171693712</v>
      </c>
      <c r="K220">
        <f t="shared" ca="1" si="22"/>
        <v>3</v>
      </c>
      <c r="L220">
        <f ca="1">MIN(DATEDIF(Tabla1[[#This Row],[FechaDesembolso]],TODAY(),"m"),Tabla1[[#This Row],[Plazos (Meses)]])</f>
        <v>19</v>
      </c>
      <c r="M220">
        <f t="shared" ca="1" si="23"/>
        <v>16</v>
      </c>
      <c r="N220" s="8" t="s">
        <v>1252</v>
      </c>
      <c r="O220" s="8">
        <v>3</v>
      </c>
      <c r="P220" s="13">
        <f t="shared" ca="1" si="25"/>
        <v>4867.0000000000064</v>
      </c>
      <c r="Q22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306.664070940285</v>
      </c>
      <c r="R220" s="8" t="str">
        <f t="shared" si="24"/>
        <v>En mora</v>
      </c>
      <c r="S220">
        <f ca="1">IF(Tabla1[[#This Row],[En Mora]]="No","",DATEDIF((EDATE(Tabla1[[#This Row],[FechaDesembolso]],Tabla1[[#This Row],[Mes de Mora]])),TODAY(),"d"))</f>
        <v>677</v>
      </c>
    </row>
    <row r="221" spans="1:19" x14ac:dyDescent="0.25">
      <c r="A221" t="s">
        <v>1063</v>
      </c>
      <c r="B221" t="s">
        <v>525</v>
      </c>
      <c r="C221" s="8" t="s">
        <v>33</v>
      </c>
      <c r="D221" s="8" t="str">
        <f>_xlfn.XLOOKUP(B221,Clientes!A:A,Clientes!G:G,"No encontrado",0)</f>
        <v>AG06</v>
      </c>
      <c r="E221" s="9">
        <v>45843</v>
      </c>
      <c r="F221" s="11">
        <v>34690</v>
      </c>
      <c r="G221" s="10">
        <v>0.3934446161431745</v>
      </c>
      <c r="H221" s="10">
        <f t="shared" si="20"/>
        <v>2.8033994665579876E-2</v>
      </c>
      <c r="I221">
        <v>19</v>
      </c>
      <c r="J221" s="12">
        <f t="shared" si="21"/>
        <v>2379.8912344376154</v>
      </c>
      <c r="K221">
        <f t="shared" ca="1" si="22"/>
        <v>13</v>
      </c>
      <c r="L221">
        <f ca="1">MIN(DATEDIF(Tabla1[[#This Row],[FechaDesembolso]],TODAY(),"m"),Tabla1[[#This Row],[Plazos (Meses)]])</f>
        <v>13</v>
      </c>
      <c r="M221">
        <f t="shared" ca="1" si="23"/>
        <v>6</v>
      </c>
      <c r="N221" s="8" t="s">
        <v>1251</v>
      </c>
      <c r="O221" s="8" t="s">
        <v>1253</v>
      </c>
      <c r="P221" s="13">
        <f t="shared" ca="1" si="25"/>
        <v>34689.999999999956</v>
      </c>
      <c r="Q22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7203.3228897942618</v>
      </c>
      <c r="R221" s="8" t="str">
        <f t="shared" ca="1" si="24"/>
        <v>Vigente</v>
      </c>
      <c r="S221" t="str">
        <f ca="1">IF(Tabla1[[#This Row],[En Mora]]="No","",DATEDIF((EDATE(Tabla1[[#This Row],[FechaDesembolso]],Tabla1[[#This Row],[Mes de Mora]])),TODAY(),"d"))</f>
        <v/>
      </c>
    </row>
    <row r="222" spans="1:19" x14ac:dyDescent="0.25">
      <c r="A222" t="s">
        <v>1064</v>
      </c>
      <c r="B222" t="s">
        <v>666</v>
      </c>
      <c r="C222" s="8" t="s">
        <v>35</v>
      </c>
      <c r="D222" s="8" t="str">
        <f>_xlfn.XLOOKUP(B222,Clientes!A:A,Clientes!G:G,"No encontrado",0)</f>
        <v>AG03</v>
      </c>
      <c r="E222" s="9">
        <v>45649</v>
      </c>
      <c r="F222" s="11">
        <v>89832</v>
      </c>
      <c r="G222" s="10">
        <v>0.3250007680252488</v>
      </c>
      <c r="H222" s="10">
        <f t="shared" si="20"/>
        <v>2.3728225483517384E-2</v>
      </c>
      <c r="I222">
        <v>48</v>
      </c>
      <c r="J222" s="12">
        <f t="shared" si="21"/>
        <v>3155.2438190537005</v>
      </c>
      <c r="K222">
        <f t="shared" ca="1" si="22"/>
        <v>19</v>
      </c>
      <c r="L222">
        <f ca="1">MIN(DATEDIF(Tabla1[[#This Row],[FechaDesembolso]],TODAY(),"m"),Tabla1[[#This Row],[Plazos (Meses)]])</f>
        <v>19</v>
      </c>
      <c r="M222">
        <f t="shared" ca="1" si="23"/>
        <v>29</v>
      </c>
      <c r="N222" s="8" t="s">
        <v>1251</v>
      </c>
      <c r="O222" s="8" t="s">
        <v>1253</v>
      </c>
      <c r="P222" s="13">
        <f t="shared" ca="1" si="25"/>
        <v>89831.999999999942</v>
      </c>
      <c r="Q22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24391.132562020313</v>
      </c>
      <c r="R222" s="8" t="str">
        <f t="shared" ca="1" si="24"/>
        <v>Vigente</v>
      </c>
      <c r="S222" t="str">
        <f ca="1">IF(Tabla1[[#This Row],[En Mora]]="No","",DATEDIF((EDATE(Tabla1[[#This Row],[FechaDesembolso]],Tabla1[[#This Row],[Mes de Mora]])),TODAY(),"d"))</f>
        <v/>
      </c>
    </row>
    <row r="223" spans="1:19" x14ac:dyDescent="0.25">
      <c r="A223" t="s">
        <v>1065</v>
      </c>
      <c r="B223" t="s">
        <v>69</v>
      </c>
      <c r="C223" s="8" t="s">
        <v>31</v>
      </c>
      <c r="D223" s="8" t="str">
        <f>_xlfn.XLOOKUP(B223,Clientes!A:A,Clientes!G:G,"No encontrado",0)</f>
        <v>AG01</v>
      </c>
      <c r="E223" s="9">
        <v>45439</v>
      </c>
      <c r="F223" s="11">
        <v>5781</v>
      </c>
      <c r="G223" s="10">
        <v>0.44052807265951155</v>
      </c>
      <c r="H223" s="10">
        <f t="shared" si="20"/>
        <v>3.0884818223245958E-2</v>
      </c>
      <c r="I223">
        <v>28</v>
      </c>
      <c r="J223" s="12">
        <f t="shared" si="21"/>
        <v>311.43047810963179</v>
      </c>
      <c r="K223">
        <f t="shared" ca="1" si="22"/>
        <v>26</v>
      </c>
      <c r="L223">
        <f ca="1">MIN(DATEDIF(Tabla1[[#This Row],[FechaDesembolso]],TODAY(),"m"),Tabla1[[#This Row],[Plazos (Meses)]])</f>
        <v>26</v>
      </c>
      <c r="M223">
        <f t="shared" ca="1" si="23"/>
        <v>2</v>
      </c>
      <c r="N223" s="8" t="s">
        <v>1251</v>
      </c>
      <c r="O223" s="8" t="s">
        <v>1253</v>
      </c>
      <c r="P223" s="13">
        <f t="shared" ca="1" si="25"/>
        <v>5780.9999999999918</v>
      </c>
      <c r="Q22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2729.1210022789987</v>
      </c>
      <c r="R223" s="8" t="str">
        <f t="shared" ca="1" si="24"/>
        <v>Vigente</v>
      </c>
      <c r="S223" t="str">
        <f ca="1">IF(Tabla1[[#This Row],[En Mora]]="No","",DATEDIF((EDATE(Tabla1[[#This Row],[FechaDesembolso]],Tabla1[[#This Row],[Mes de Mora]])),TODAY(),"d"))</f>
        <v/>
      </c>
    </row>
    <row r="224" spans="1:19" x14ac:dyDescent="0.25">
      <c r="A224" t="s">
        <v>1066</v>
      </c>
      <c r="B224" t="s">
        <v>576</v>
      </c>
      <c r="C224" s="8" t="s">
        <v>31</v>
      </c>
      <c r="D224" s="8" t="str">
        <f>_xlfn.XLOOKUP(B224,Clientes!A:A,Clientes!G:G,"No encontrado",0)</f>
        <v>AG06</v>
      </c>
      <c r="E224" s="9">
        <v>45940</v>
      </c>
      <c r="F224" s="11">
        <v>2110</v>
      </c>
      <c r="G224" s="10">
        <v>0.41684847075348908</v>
      </c>
      <c r="H224" s="10">
        <f t="shared" si="20"/>
        <v>2.9461913365634196E-2</v>
      </c>
      <c r="I224">
        <v>25</v>
      </c>
      <c r="J224" s="12">
        <f t="shared" si="21"/>
        <v>120.44745297505142</v>
      </c>
      <c r="K224">
        <f t="shared" ca="1" si="22"/>
        <v>9</v>
      </c>
      <c r="L224">
        <f ca="1">MIN(DATEDIF(Tabla1[[#This Row],[FechaDesembolso]],TODAY(),"m"),Tabla1[[#This Row],[Plazos (Meses)]])</f>
        <v>10</v>
      </c>
      <c r="M224">
        <f t="shared" ca="1" si="23"/>
        <v>16</v>
      </c>
      <c r="N224" s="8" t="s">
        <v>1252</v>
      </c>
      <c r="O224" s="8">
        <v>9</v>
      </c>
      <c r="P224" s="13">
        <f t="shared" ca="1" si="25"/>
        <v>2110.0000000000023</v>
      </c>
      <c r="Q22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324.42707677546275</v>
      </c>
      <c r="R224" s="8" t="str">
        <f t="shared" si="24"/>
        <v>En mora</v>
      </c>
      <c r="S224">
        <f ca="1">IF(Tabla1[[#This Row],[En Mora]]="No","",DATEDIF((EDATE(Tabla1[[#This Row],[FechaDesembolso]],Tabla1[[#This Row],[Mes de Mora]])),TODAY(),"d"))</f>
        <v>33</v>
      </c>
    </row>
    <row r="225" spans="1:19" x14ac:dyDescent="0.25">
      <c r="A225" t="s">
        <v>1067</v>
      </c>
      <c r="B225" t="s">
        <v>416</v>
      </c>
      <c r="C225" s="8" t="s">
        <v>31</v>
      </c>
      <c r="D225" s="8" t="str">
        <f>_xlfn.XLOOKUP(B225,Clientes!A:A,Clientes!G:G,"No encontrado",0)</f>
        <v>AG03</v>
      </c>
      <c r="E225" s="9">
        <v>46172</v>
      </c>
      <c r="F225" s="11">
        <v>8956</v>
      </c>
      <c r="G225" s="10">
        <v>0.39826330551732914</v>
      </c>
      <c r="H225" s="10">
        <f t="shared" si="20"/>
        <v>2.8329780982461417E-2</v>
      </c>
      <c r="I225">
        <v>33</v>
      </c>
      <c r="J225" s="12">
        <f t="shared" si="21"/>
        <v>421.30228514497213</v>
      </c>
      <c r="K225">
        <f t="shared" ca="1" si="22"/>
        <v>2</v>
      </c>
      <c r="L225">
        <f ca="1">MIN(DATEDIF(Tabla1[[#This Row],[FechaDesembolso]],TODAY(),"m"),Tabla1[[#This Row],[Plazos (Meses)]])</f>
        <v>2</v>
      </c>
      <c r="M225">
        <f t="shared" ca="1" si="23"/>
        <v>31</v>
      </c>
      <c r="N225" s="8" t="s">
        <v>1251</v>
      </c>
      <c r="O225" s="8" t="s">
        <v>1253</v>
      </c>
      <c r="P225" s="13">
        <f t="shared" ca="1" si="25"/>
        <v>8955.9999999999945</v>
      </c>
      <c r="Q22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299.81669150206545</v>
      </c>
      <c r="R225" s="8" t="str">
        <f t="shared" ca="1" si="24"/>
        <v>Vigente</v>
      </c>
      <c r="S225" t="str">
        <f ca="1">IF(Tabla1[[#This Row],[En Mora]]="No","",DATEDIF((EDATE(Tabla1[[#This Row],[FechaDesembolso]],Tabla1[[#This Row],[Mes de Mora]])),TODAY(),"d"))</f>
        <v/>
      </c>
    </row>
    <row r="226" spans="1:19" x14ac:dyDescent="0.25">
      <c r="A226" t="s">
        <v>1068</v>
      </c>
      <c r="B226" t="s">
        <v>266</v>
      </c>
      <c r="C226" s="8" t="s">
        <v>35</v>
      </c>
      <c r="D226" s="8" t="str">
        <f>_xlfn.XLOOKUP(B226,Clientes!A:A,Clientes!G:G,"No encontrado",0)</f>
        <v>AG06</v>
      </c>
      <c r="E226" s="9">
        <v>45644</v>
      </c>
      <c r="F226" s="11">
        <v>38473</v>
      </c>
      <c r="G226" s="10">
        <v>0.33921997783809565</v>
      </c>
      <c r="H226" s="10">
        <f t="shared" si="20"/>
        <v>2.4639262408757467E-2</v>
      </c>
      <c r="I226">
        <v>34</v>
      </c>
      <c r="J226" s="12">
        <f t="shared" si="21"/>
        <v>1684.0567293564445</v>
      </c>
      <c r="K226">
        <f t="shared" ca="1" si="22"/>
        <v>12</v>
      </c>
      <c r="L226">
        <f ca="1">MIN(DATEDIF(Tabla1[[#This Row],[FechaDesembolso]],TODAY(),"m"),Tabla1[[#This Row],[Plazos (Meses)]])</f>
        <v>19</v>
      </c>
      <c r="M226">
        <f t="shared" ca="1" si="23"/>
        <v>22</v>
      </c>
      <c r="N226" s="8" t="s">
        <v>1252</v>
      </c>
      <c r="O226" s="8">
        <v>12</v>
      </c>
      <c r="P226" s="13">
        <f t="shared" ca="1" si="25"/>
        <v>38472.999999999993</v>
      </c>
      <c r="Q22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6629.9748699243937</v>
      </c>
      <c r="R226" s="8" t="str">
        <f t="shared" si="24"/>
        <v>En mora</v>
      </c>
      <c r="S226">
        <f ca="1">IF(Tabla1[[#This Row],[En Mora]]="No","",DATEDIF((EDATE(Tabla1[[#This Row],[FechaDesembolso]],Tabla1[[#This Row],[Mes de Mora]])),TODAY(),"d"))</f>
        <v>237</v>
      </c>
    </row>
    <row r="227" spans="1:19" x14ac:dyDescent="0.25">
      <c r="A227" t="s">
        <v>1069</v>
      </c>
      <c r="B227" t="s">
        <v>705</v>
      </c>
      <c r="C227" s="8" t="s">
        <v>37</v>
      </c>
      <c r="D227" s="8" t="str">
        <f>_xlfn.XLOOKUP(B227,Clientes!A:A,Clientes!G:G,"No encontrado",0)</f>
        <v>AG06</v>
      </c>
      <c r="E227" s="9">
        <v>45603</v>
      </c>
      <c r="F227" s="11">
        <v>36457</v>
      </c>
      <c r="G227" s="10">
        <v>9.4861626069937199E-2</v>
      </c>
      <c r="H227" s="10">
        <f t="shared" si="20"/>
        <v>7.5809229910026588E-3</v>
      </c>
      <c r="I227">
        <v>71</v>
      </c>
      <c r="J227" s="12">
        <f t="shared" si="21"/>
        <v>665.90265666719017</v>
      </c>
      <c r="K227">
        <f t="shared" ca="1" si="22"/>
        <v>21</v>
      </c>
      <c r="L227">
        <f ca="1">MIN(DATEDIF(Tabla1[[#This Row],[FechaDesembolso]],TODAY(),"m"),Tabla1[[#This Row],[Plazos (Meses)]])</f>
        <v>21</v>
      </c>
      <c r="M227">
        <f t="shared" ca="1" si="23"/>
        <v>50</v>
      </c>
      <c r="N227" s="8" t="s">
        <v>1251</v>
      </c>
      <c r="O227" s="8" t="s">
        <v>1253</v>
      </c>
      <c r="P227" s="13">
        <f t="shared" ca="1" si="25"/>
        <v>36457.000000000116</v>
      </c>
      <c r="Q22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3200.8994519828248</v>
      </c>
      <c r="R227" s="8" t="str">
        <f t="shared" ca="1" si="24"/>
        <v>Vigente</v>
      </c>
      <c r="S227" t="str">
        <f ca="1">IF(Tabla1[[#This Row],[En Mora]]="No","",DATEDIF((EDATE(Tabla1[[#This Row],[FechaDesembolso]],Tabla1[[#This Row],[Mes de Mora]])),TODAY(),"d"))</f>
        <v/>
      </c>
    </row>
    <row r="228" spans="1:19" x14ac:dyDescent="0.25">
      <c r="A228" t="s">
        <v>1070</v>
      </c>
      <c r="B228" t="s">
        <v>104</v>
      </c>
      <c r="C228" s="8" t="s">
        <v>39</v>
      </c>
      <c r="D228" s="8" t="str">
        <f>_xlfn.XLOOKUP(B228,Clientes!A:A,Clientes!G:G,"No encontrado",0)</f>
        <v>AG03</v>
      </c>
      <c r="E228" s="9">
        <v>45817</v>
      </c>
      <c r="F228" s="11">
        <v>2095</v>
      </c>
      <c r="G228" s="10">
        <v>0.24478792205488759</v>
      </c>
      <c r="H228" s="10">
        <f t="shared" si="20"/>
        <v>1.841459314368743E-2</v>
      </c>
      <c r="I228">
        <v>13</v>
      </c>
      <c r="J228" s="12">
        <f t="shared" si="21"/>
        <v>182.68430626243699</v>
      </c>
      <c r="K228">
        <f t="shared" ca="1" si="22"/>
        <v>13</v>
      </c>
      <c r="L228">
        <f ca="1">MIN(DATEDIF(Tabla1[[#This Row],[FechaDesembolso]],TODAY(),"m"),Tabla1[[#This Row],[Plazos (Meses)]])</f>
        <v>13</v>
      </c>
      <c r="M228">
        <f t="shared" ca="1" si="23"/>
        <v>0</v>
      </c>
      <c r="N228" s="8" t="s">
        <v>1251</v>
      </c>
      <c r="O228" s="8" t="s">
        <v>1253</v>
      </c>
      <c r="P228" s="13">
        <f t="shared" ca="1" si="25"/>
        <v>0</v>
      </c>
      <c r="Q22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28" s="8" t="str">
        <f t="shared" ca="1" si="24"/>
        <v>Cancelado</v>
      </c>
      <c r="S228" t="str">
        <f ca="1">IF(Tabla1[[#This Row],[En Mora]]="No","",DATEDIF((EDATE(Tabla1[[#This Row],[FechaDesembolso]],Tabla1[[#This Row],[Mes de Mora]])),TODAY(),"d"))</f>
        <v/>
      </c>
    </row>
    <row r="229" spans="1:19" x14ac:dyDescent="0.25">
      <c r="A229" t="s">
        <v>1071</v>
      </c>
      <c r="B229" t="s">
        <v>504</v>
      </c>
      <c r="C229" s="8" t="s">
        <v>35</v>
      </c>
      <c r="D229" s="8" t="str">
        <f>_xlfn.XLOOKUP(B229,Clientes!A:A,Clientes!G:G,"No encontrado",0)</f>
        <v>AG07</v>
      </c>
      <c r="E229" s="9">
        <v>45720</v>
      </c>
      <c r="F229" s="11">
        <v>50697</v>
      </c>
      <c r="G229" s="10">
        <v>0.26278834512595284</v>
      </c>
      <c r="H229" s="10">
        <f t="shared" si="20"/>
        <v>1.963377702122826E-2</v>
      </c>
      <c r="I229">
        <v>24</v>
      </c>
      <c r="J229" s="12">
        <f t="shared" si="21"/>
        <v>2669.2989265366214</v>
      </c>
      <c r="K229">
        <f t="shared" ca="1" si="22"/>
        <v>17</v>
      </c>
      <c r="L229">
        <f ca="1">MIN(DATEDIF(Tabla1[[#This Row],[FechaDesembolso]],TODAY(),"m"),Tabla1[[#This Row],[Plazos (Meses)]])</f>
        <v>17</v>
      </c>
      <c r="M229">
        <f t="shared" ca="1" si="23"/>
        <v>7</v>
      </c>
      <c r="N229" s="8" t="s">
        <v>1251</v>
      </c>
      <c r="O229" s="8" t="s">
        <v>1253</v>
      </c>
      <c r="P229" s="13">
        <f t="shared" ca="1" si="25"/>
        <v>50696.999999999971</v>
      </c>
      <c r="Q22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9467.7067511225632</v>
      </c>
      <c r="R229" s="8" t="str">
        <f t="shared" ca="1" si="24"/>
        <v>Vigente</v>
      </c>
      <c r="S229" t="str">
        <f ca="1">IF(Tabla1[[#This Row],[En Mora]]="No","",DATEDIF((EDATE(Tabla1[[#This Row],[FechaDesembolso]],Tabla1[[#This Row],[Mes de Mora]])),TODAY(),"d"))</f>
        <v/>
      </c>
    </row>
    <row r="230" spans="1:19" x14ac:dyDescent="0.25">
      <c r="A230" t="s">
        <v>1072</v>
      </c>
      <c r="B230" t="s">
        <v>226</v>
      </c>
      <c r="C230" s="8" t="s">
        <v>31</v>
      </c>
      <c r="D230" s="8" t="str">
        <f>_xlfn.XLOOKUP(B230,Clientes!A:A,Clientes!G:G,"No encontrado",0)</f>
        <v>AG07</v>
      </c>
      <c r="E230" s="9">
        <v>44757</v>
      </c>
      <c r="F230" s="11">
        <v>693</v>
      </c>
      <c r="G230" s="10">
        <v>0.52206215547872259</v>
      </c>
      <c r="H230" s="10">
        <f t="shared" si="20"/>
        <v>3.5625413063379519E-2</v>
      </c>
      <c r="I230">
        <v>12</v>
      </c>
      <c r="J230" s="12">
        <f t="shared" si="21"/>
        <v>71.978587324549352</v>
      </c>
      <c r="K230">
        <f t="shared" ca="1" si="22"/>
        <v>12</v>
      </c>
      <c r="L230">
        <f ca="1">MIN(DATEDIF(Tabla1[[#This Row],[FechaDesembolso]],TODAY(),"m"),Tabla1[[#This Row],[Plazos (Meses)]])</f>
        <v>12</v>
      </c>
      <c r="M230">
        <f t="shared" ca="1" si="23"/>
        <v>0</v>
      </c>
      <c r="N230" s="8" t="s">
        <v>1251</v>
      </c>
      <c r="O230" s="8" t="s">
        <v>1253</v>
      </c>
      <c r="P230" s="13">
        <f t="shared" ca="1" si="25"/>
        <v>0</v>
      </c>
      <c r="Q23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30" s="8" t="str">
        <f t="shared" ca="1" si="24"/>
        <v>Cancelado</v>
      </c>
      <c r="S230" t="str">
        <f ca="1">IF(Tabla1[[#This Row],[En Mora]]="No","",DATEDIF((EDATE(Tabla1[[#This Row],[FechaDesembolso]],Tabla1[[#This Row],[Mes de Mora]])),TODAY(),"d"))</f>
        <v/>
      </c>
    </row>
    <row r="231" spans="1:19" x14ac:dyDescent="0.25">
      <c r="A231" t="s">
        <v>1073</v>
      </c>
      <c r="B231" t="s">
        <v>229</v>
      </c>
      <c r="C231" s="8" t="s">
        <v>37</v>
      </c>
      <c r="D231" s="8" t="str">
        <f>_xlfn.XLOOKUP(B231,Clientes!A:A,Clientes!G:G,"No encontrado",0)</f>
        <v>AG05</v>
      </c>
      <c r="E231" s="9">
        <v>45650</v>
      </c>
      <c r="F231" s="11">
        <v>207130</v>
      </c>
      <c r="G231" s="10">
        <v>9.678241146096267E-2</v>
      </c>
      <c r="H231" s="10">
        <f t="shared" si="20"/>
        <v>7.7281099530430719E-3</v>
      </c>
      <c r="I231">
        <v>98</v>
      </c>
      <c r="J231" s="12">
        <f t="shared" si="21"/>
        <v>3021.7855990664616</v>
      </c>
      <c r="K231">
        <f t="shared" ca="1" si="22"/>
        <v>19</v>
      </c>
      <c r="L231">
        <f ca="1">MIN(DATEDIF(Tabla1[[#This Row],[FechaDesembolso]],TODAY(),"m"),Tabla1[[#This Row],[Plazos (Meses)]])</f>
        <v>19</v>
      </c>
      <c r="M231">
        <f t="shared" ca="1" si="23"/>
        <v>79</v>
      </c>
      <c r="N231" s="8" t="s">
        <v>1251</v>
      </c>
      <c r="O231" s="8" t="s">
        <v>1253</v>
      </c>
      <c r="P231" s="13">
        <f t="shared" ca="1" si="25"/>
        <v>207129.99999999948</v>
      </c>
      <c r="Q23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17256.069239405631</v>
      </c>
      <c r="R231" s="8" t="str">
        <f t="shared" ca="1" si="24"/>
        <v>Vigente</v>
      </c>
      <c r="S231" t="str">
        <f ca="1">IF(Tabla1[[#This Row],[En Mora]]="No","",DATEDIF((EDATE(Tabla1[[#This Row],[FechaDesembolso]],Tabla1[[#This Row],[Mes de Mora]])),TODAY(),"d"))</f>
        <v/>
      </c>
    </row>
    <row r="232" spans="1:19" x14ac:dyDescent="0.25">
      <c r="A232" t="s">
        <v>1074</v>
      </c>
      <c r="B232" t="s">
        <v>660</v>
      </c>
      <c r="C232" s="8" t="s">
        <v>31</v>
      </c>
      <c r="D232" s="8" t="str">
        <f>_xlfn.XLOOKUP(B232,Clientes!A:A,Clientes!G:G,"No encontrado",0)</f>
        <v>AG03</v>
      </c>
      <c r="E232" s="9">
        <v>45985</v>
      </c>
      <c r="F232" s="11">
        <v>6995</v>
      </c>
      <c r="G232" s="10">
        <v>0.52801326448489827</v>
      </c>
      <c r="H232" s="10">
        <f t="shared" si="20"/>
        <v>3.5962242425275903E-2</v>
      </c>
      <c r="I232">
        <v>36</v>
      </c>
      <c r="J232" s="12">
        <f t="shared" si="21"/>
        <v>349.52741034666531</v>
      </c>
      <c r="K232">
        <f t="shared" ca="1" si="22"/>
        <v>2</v>
      </c>
      <c r="L232">
        <f ca="1">MIN(DATEDIF(Tabla1[[#This Row],[FechaDesembolso]],TODAY(),"m"),Tabla1[[#This Row],[Plazos (Meses)]])</f>
        <v>8</v>
      </c>
      <c r="M232">
        <f t="shared" ca="1" si="23"/>
        <v>34</v>
      </c>
      <c r="N232" s="8" t="s">
        <v>1252</v>
      </c>
      <c r="O232" s="8">
        <v>2</v>
      </c>
      <c r="P232" s="13">
        <f t="shared" ca="1" si="25"/>
        <v>6995.0000000000027</v>
      </c>
      <c r="Q23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310.44370958221953</v>
      </c>
      <c r="R232" s="8" t="str">
        <f t="shared" si="24"/>
        <v>En mora</v>
      </c>
      <c r="S232">
        <f ca="1">IF(Tabla1[[#This Row],[En Mora]]="No","",DATEDIF((EDATE(Tabla1[[#This Row],[FechaDesembolso]],Tabla1[[#This Row],[Mes de Mora]])),TODAY(),"d"))</f>
        <v>200</v>
      </c>
    </row>
    <row r="233" spans="1:19" x14ac:dyDescent="0.25">
      <c r="A233" t="s">
        <v>1075</v>
      </c>
      <c r="B233" t="s">
        <v>696</v>
      </c>
      <c r="C233" s="8" t="s">
        <v>39</v>
      </c>
      <c r="D233" s="8" t="str">
        <f>_xlfn.XLOOKUP(B233,Clientes!A:A,Clientes!G:G,"No encontrado",0)</f>
        <v>AG05</v>
      </c>
      <c r="E233" s="9">
        <v>45829</v>
      </c>
      <c r="F233" s="11">
        <v>18472</v>
      </c>
      <c r="G233" s="10">
        <v>0.23237326597016356</v>
      </c>
      <c r="H233" s="10">
        <f t="shared" si="20"/>
        <v>1.7564285546761704E-2</v>
      </c>
      <c r="I233">
        <v>15</v>
      </c>
      <c r="J233" s="12">
        <f t="shared" si="21"/>
        <v>1411.5274494213982</v>
      </c>
      <c r="K233">
        <f t="shared" ca="1" si="22"/>
        <v>13</v>
      </c>
      <c r="L233">
        <f ca="1">MIN(DATEDIF(Tabla1[[#This Row],[FechaDesembolso]],TODAY(),"m"),Tabla1[[#This Row],[Plazos (Meses)]])</f>
        <v>13</v>
      </c>
      <c r="M233">
        <f t="shared" ca="1" si="23"/>
        <v>2</v>
      </c>
      <c r="N233" s="8" t="s">
        <v>1251</v>
      </c>
      <c r="O233" s="8" t="s">
        <v>1253</v>
      </c>
      <c r="P233" s="13">
        <f t="shared" ca="1" si="25"/>
        <v>18471.999999999942</v>
      </c>
      <c r="Q23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2340.7901758115086</v>
      </c>
      <c r="R233" s="8" t="str">
        <f t="shared" ca="1" si="24"/>
        <v>Vigente</v>
      </c>
      <c r="S233" t="str">
        <f ca="1">IF(Tabla1[[#This Row],[En Mora]]="No","",DATEDIF((EDATE(Tabla1[[#This Row],[FechaDesembolso]],Tabla1[[#This Row],[Mes de Mora]])),TODAY(),"d"))</f>
        <v/>
      </c>
    </row>
    <row r="234" spans="1:19" x14ac:dyDescent="0.25">
      <c r="A234" t="s">
        <v>1076</v>
      </c>
      <c r="B234" t="s">
        <v>141</v>
      </c>
      <c r="C234" s="8" t="s">
        <v>31</v>
      </c>
      <c r="D234" s="8" t="str">
        <f>_xlfn.XLOOKUP(B234,Clientes!A:A,Clientes!G:G,"No encontrado",0)</f>
        <v>AG08</v>
      </c>
      <c r="E234" s="9">
        <v>45726</v>
      </c>
      <c r="F234" s="11">
        <v>12992</v>
      </c>
      <c r="G234" s="10">
        <v>0.54135952706941604</v>
      </c>
      <c r="H234" s="10">
        <f t="shared" si="20"/>
        <v>3.6713281991781033E-2</v>
      </c>
      <c r="I234">
        <v>27</v>
      </c>
      <c r="J234" s="12">
        <f t="shared" si="21"/>
        <v>766.55157680000582</v>
      </c>
      <c r="K234">
        <f t="shared" ca="1" si="22"/>
        <v>17</v>
      </c>
      <c r="L234">
        <f ca="1">MIN(DATEDIF(Tabla1[[#This Row],[FechaDesembolso]],TODAY(),"m"),Tabla1[[#This Row],[Plazos (Meses)]])</f>
        <v>17</v>
      </c>
      <c r="M234">
        <f t="shared" ca="1" si="23"/>
        <v>10</v>
      </c>
      <c r="N234" s="8" t="s">
        <v>1251</v>
      </c>
      <c r="O234" s="8" t="s">
        <v>1253</v>
      </c>
      <c r="P234" s="13">
        <f t="shared" ca="1" si="25"/>
        <v>12991.999999999991</v>
      </c>
      <c r="Q23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4851.2286574519521</v>
      </c>
      <c r="R234" s="8" t="str">
        <f t="shared" ca="1" si="24"/>
        <v>Vigente</v>
      </c>
      <c r="S234" t="str">
        <f ca="1">IF(Tabla1[[#This Row],[En Mora]]="No","",DATEDIF((EDATE(Tabla1[[#This Row],[FechaDesembolso]],Tabla1[[#This Row],[Mes de Mora]])),TODAY(),"d"))</f>
        <v/>
      </c>
    </row>
    <row r="235" spans="1:19" x14ac:dyDescent="0.25">
      <c r="A235" t="s">
        <v>1077</v>
      </c>
      <c r="B235" t="s">
        <v>790</v>
      </c>
      <c r="C235" s="8" t="s">
        <v>33</v>
      </c>
      <c r="D235" s="8" t="str">
        <f>_xlfn.XLOOKUP(B235,Clientes!A:A,Clientes!G:G,"No encontrado",0)</f>
        <v>AG05</v>
      </c>
      <c r="E235" s="9">
        <v>46102</v>
      </c>
      <c r="F235" s="11">
        <v>49799</v>
      </c>
      <c r="G235" s="10">
        <v>0.3793043707117103</v>
      </c>
      <c r="H235" s="10">
        <f t="shared" si="20"/>
        <v>2.7160577286297949E-2</v>
      </c>
      <c r="I235">
        <v>36</v>
      </c>
      <c r="J235" s="12">
        <f t="shared" si="21"/>
        <v>2185.3814902618869</v>
      </c>
      <c r="K235">
        <f t="shared" ca="1" si="22"/>
        <v>4</v>
      </c>
      <c r="L235">
        <f ca="1">MIN(DATEDIF(Tabla1[[#This Row],[FechaDesembolso]],TODAY(),"m"),Tabla1[[#This Row],[Plazos (Meses)]])</f>
        <v>4</v>
      </c>
      <c r="M235">
        <f t="shared" ca="1" si="23"/>
        <v>32</v>
      </c>
      <c r="N235" s="8" t="s">
        <v>1251</v>
      </c>
      <c r="O235" s="8" t="s">
        <v>1253</v>
      </c>
      <c r="P235" s="13">
        <f t="shared" ca="1" si="25"/>
        <v>49798.999999999935</v>
      </c>
      <c r="Q23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3208.3037388253251</v>
      </c>
      <c r="R235" s="8" t="str">
        <f t="shared" ca="1" si="24"/>
        <v>Vigente</v>
      </c>
      <c r="S235" t="str">
        <f ca="1">IF(Tabla1[[#This Row],[En Mora]]="No","",DATEDIF((EDATE(Tabla1[[#This Row],[FechaDesembolso]],Tabla1[[#This Row],[Mes de Mora]])),TODAY(),"d"))</f>
        <v/>
      </c>
    </row>
    <row r="236" spans="1:19" x14ac:dyDescent="0.25">
      <c r="A236" t="s">
        <v>1078</v>
      </c>
      <c r="B236" t="s">
        <v>73</v>
      </c>
      <c r="C236" s="8" t="s">
        <v>33</v>
      </c>
      <c r="D236" s="8" t="str">
        <f>_xlfn.XLOOKUP(B236,Clientes!A:A,Clientes!G:G,"No encontrado",0)</f>
        <v>AG01</v>
      </c>
      <c r="E236" s="9">
        <v>45585</v>
      </c>
      <c r="F236" s="11">
        <v>41640</v>
      </c>
      <c r="G236" s="10">
        <v>0.2998877321535659</v>
      </c>
      <c r="H236" s="10">
        <f t="shared" si="20"/>
        <v>2.2097094567480102E-2</v>
      </c>
      <c r="I236">
        <v>20</v>
      </c>
      <c r="J236" s="12">
        <f t="shared" si="21"/>
        <v>2598.392298166621</v>
      </c>
      <c r="K236">
        <f t="shared" ca="1" si="22"/>
        <v>20</v>
      </c>
      <c r="L236">
        <f ca="1">MIN(DATEDIF(Tabla1[[#This Row],[FechaDesembolso]],TODAY(),"m"),Tabla1[[#This Row],[Plazos (Meses)]])</f>
        <v>20</v>
      </c>
      <c r="M236">
        <f t="shared" ca="1" si="23"/>
        <v>0</v>
      </c>
      <c r="N236" s="8" t="s">
        <v>1251</v>
      </c>
      <c r="O236" s="8" t="s">
        <v>1253</v>
      </c>
      <c r="P236" s="13">
        <f t="shared" ca="1" si="25"/>
        <v>0</v>
      </c>
      <c r="Q23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36" s="8" t="str">
        <f t="shared" ca="1" si="24"/>
        <v>Cancelado</v>
      </c>
      <c r="S236" t="str">
        <f ca="1">IF(Tabla1[[#This Row],[En Mora]]="No","",DATEDIF((EDATE(Tabla1[[#This Row],[FechaDesembolso]],Tabla1[[#This Row],[Mes de Mora]])),TODAY(),"d"))</f>
        <v/>
      </c>
    </row>
    <row r="237" spans="1:19" x14ac:dyDescent="0.25">
      <c r="A237" t="s">
        <v>1079</v>
      </c>
      <c r="B237" t="s">
        <v>335</v>
      </c>
      <c r="C237" s="8" t="s">
        <v>33</v>
      </c>
      <c r="D237" s="8" t="str">
        <f>_xlfn.XLOOKUP(B237,Clientes!A:A,Clientes!G:G,"No encontrado",0)</f>
        <v>AG02</v>
      </c>
      <c r="E237" s="9">
        <v>45856</v>
      </c>
      <c r="F237" s="11">
        <v>32842</v>
      </c>
      <c r="G237" s="10">
        <v>0.34088979541780046</v>
      </c>
      <c r="H237" s="10">
        <f t="shared" si="20"/>
        <v>2.4745666614533368E-2</v>
      </c>
      <c r="I237">
        <v>39</v>
      </c>
      <c r="J237" s="12">
        <f t="shared" si="21"/>
        <v>1322.4349077600698</v>
      </c>
      <c r="K237">
        <f t="shared" ca="1" si="22"/>
        <v>9</v>
      </c>
      <c r="L237">
        <f ca="1">MIN(DATEDIF(Tabla1[[#This Row],[FechaDesembolso]],TODAY(),"m"),Tabla1[[#This Row],[Plazos (Meses)]])</f>
        <v>12</v>
      </c>
      <c r="M237">
        <f t="shared" ca="1" si="23"/>
        <v>30</v>
      </c>
      <c r="N237" s="8" t="s">
        <v>1252</v>
      </c>
      <c r="O237" s="8">
        <v>9</v>
      </c>
      <c r="P237" s="13">
        <f t="shared" ca="1" si="25"/>
        <v>32842.000000000029</v>
      </c>
      <c r="Q23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4322.9910929175512</v>
      </c>
      <c r="R237" s="8" t="str">
        <f t="shared" si="24"/>
        <v>En mora</v>
      </c>
      <c r="S237">
        <f ca="1">IF(Tabla1[[#This Row],[En Mora]]="No","",DATEDIF((EDATE(Tabla1[[#This Row],[FechaDesembolso]],Tabla1[[#This Row],[Mes de Mora]])),TODAY(),"d"))</f>
        <v>116</v>
      </c>
    </row>
    <row r="238" spans="1:19" x14ac:dyDescent="0.25">
      <c r="A238" t="s">
        <v>1080</v>
      </c>
      <c r="B238" t="s">
        <v>192</v>
      </c>
      <c r="C238" s="8" t="s">
        <v>35</v>
      </c>
      <c r="D238" s="8" t="str">
        <f>_xlfn.XLOOKUP(B238,Clientes!A:A,Clientes!G:G,"No encontrado",0)</f>
        <v>AG02</v>
      </c>
      <c r="E238" s="9">
        <v>46088</v>
      </c>
      <c r="F238" s="11">
        <v>31575</v>
      </c>
      <c r="G238" s="10">
        <v>0.23896879189364195</v>
      </c>
      <c r="H238" s="10">
        <f t="shared" si="20"/>
        <v>1.801700045768162E-2</v>
      </c>
      <c r="I238">
        <v>32</v>
      </c>
      <c r="J238" s="12">
        <f t="shared" si="21"/>
        <v>1306.9673194628779</v>
      </c>
      <c r="K238">
        <f t="shared" ca="1" si="22"/>
        <v>5</v>
      </c>
      <c r="L238">
        <f ca="1">MIN(DATEDIF(Tabla1[[#This Row],[FechaDesembolso]],TODAY(),"m"),Tabla1[[#This Row],[Plazos (Meses)]])</f>
        <v>5</v>
      </c>
      <c r="M238">
        <f t="shared" ca="1" si="23"/>
        <v>27</v>
      </c>
      <c r="N238" s="8" t="s">
        <v>1251</v>
      </c>
      <c r="O238" s="8" t="s">
        <v>1253</v>
      </c>
      <c r="P238" s="13">
        <f t="shared" ca="1" si="25"/>
        <v>31574.999999999971</v>
      </c>
      <c r="Q23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1601.2428473143893</v>
      </c>
      <c r="R238" s="8" t="str">
        <f t="shared" ca="1" si="24"/>
        <v>Vigente</v>
      </c>
      <c r="S238" t="str">
        <f ca="1">IF(Tabla1[[#This Row],[En Mora]]="No","",DATEDIF((EDATE(Tabla1[[#This Row],[FechaDesembolso]],Tabla1[[#This Row],[Mes de Mora]])),TODAY(),"d"))</f>
        <v/>
      </c>
    </row>
    <row r="239" spans="1:19" x14ac:dyDescent="0.25">
      <c r="A239" t="s">
        <v>1081</v>
      </c>
      <c r="B239" t="s">
        <v>711</v>
      </c>
      <c r="C239" s="8" t="s">
        <v>39</v>
      </c>
      <c r="D239" s="8" t="str">
        <f>_xlfn.XLOOKUP(B239,Clientes!A:A,Clientes!G:G,"No encontrado",0)</f>
        <v>AG08</v>
      </c>
      <c r="E239" s="9">
        <v>45180</v>
      </c>
      <c r="F239" s="11">
        <v>18074</v>
      </c>
      <c r="G239" s="10">
        <v>0.3142066036161491</v>
      </c>
      <c r="H239" s="10">
        <f t="shared" si="20"/>
        <v>2.3030630498258819E-2</v>
      </c>
      <c r="I239">
        <v>15</v>
      </c>
      <c r="J239" s="12">
        <f t="shared" si="21"/>
        <v>1438.7080821996983</v>
      </c>
      <c r="K239">
        <f t="shared" ca="1" si="22"/>
        <v>15</v>
      </c>
      <c r="L239">
        <f ca="1">MIN(DATEDIF(Tabla1[[#This Row],[FechaDesembolso]],TODAY(),"m"),Tabla1[[#This Row],[Plazos (Meses)]])</f>
        <v>15</v>
      </c>
      <c r="M239">
        <f t="shared" ca="1" si="23"/>
        <v>0</v>
      </c>
      <c r="N239" s="8" t="s">
        <v>1251</v>
      </c>
      <c r="O239" s="8" t="s">
        <v>1253</v>
      </c>
      <c r="P239" s="13">
        <f t="shared" ca="1" si="25"/>
        <v>0</v>
      </c>
      <c r="Q23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39" s="8" t="str">
        <f t="shared" ca="1" si="24"/>
        <v>Cancelado</v>
      </c>
      <c r="S239" t="str">
        <f ca="1">IF(Tabla1[[#This Row],[En Mora]]="No","",DATEDIF((EDATE(Tabla1[[#This Row],[FechaDesembolso]],Tabla1[[#This Row],[Mes de Mora]])),TODAY(),"d"))</f>
        <v/>
      </c>
    </row>
    <row r="240" spans="1:19" x14ac:dyDescent="0.25">
      <c r="A240" t="s">
        <v>1082</v>
      </c>
      <c r="B240" t="s">
        <v>486</v>
      </c>
      <c r="C240" s="8" t="s">
        <v>39</v>
      </c>
      <c r="D240" s="8" t="str">
        <f>_xlfn.XLOOKUP(B240,Clientes!A:A,Clientes!G:G,"No encontrado",0)</f>
        <v>AG06</v>
      </c>
      <c r="E240" s="9">
        <v>45950</v>
      </c>
      <c r="F240" s="11">
        <v>16878</v>
      </c>
      <c r="G240" s="10">
        <v>0.26868874943548049</v>
      </c>
      <c r="H240" s="10">
        <f t="shared" si="20"/>
        <v>2.0029950936149676E-2</v>
      </c>
      <c r="I240">
        <v>24</v>
      </c>
      <c r="J240" s="12">
        <f t="shared" si="21"/>
        <v>892.66117446322016</v>
      </c>
      <c r="K240">
        <f t="shared" ca="1" si="22"/>
        <v>9</v>
      </c>
      <c r="L240">
        <f ca="1">MIN(DATEDIF(Tabla1[[#This Row],[FechaDesembolso]],TODAY(),"m"),Tabla1[[#This Row],[Plazos (Meses)]])</f>
        <v>9</v>
      </c>
      <c r="M240">
        <f t="shared" ca="1" si="23"/>
        <v>15</v>
      </c>
      <c r="N240" s="8" t="s">
        <v>1251</v>
      </c>
      <c r="O240" s="8" t="s">
        <v>1253</v>
      </c>
      <c r="P240" s="13">
        <f t="shared" ca="1" si="25"/>
        <v>16877.999999999982</v>
      </c>
      <c r="Q24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1704.7005701689818</v>
      </c>
      <c r="R240" s="8" t="str">
        <f t="shared" ca="1" si="24"/>
        <v>Vigente</v>
      </c>
      <c r="S240" t="str">
        <f ca="1">IF(Tabla1[[#This Row],[En Mora]]="No","",DATEDIF((EDATE(Tabla1[[#This Row],[FechaDesembolso]],Tabla1[[#This Row],[Mes de Mora]])),TODAY(),"d"))</f>
        <v/>
      </c>
    </row>
    <row r="241" spans="1:19" x14ac:dyDescent="0.25">
      <c r="A241" t="s">
        <v>1083</v>
      </c>
      <c r="B241" t="s">
        <v>816</v>
      </c>
      <c r="C241" s="8" t="s">
        <v>33</v>
      </c>
      <c r="D241" s="8" t="str">
        <f>_xlfn.XLOOKUP(B241,Clientes!A:A,Clientes!G:G,"No encontrado",0)</f>
        <v>AG08</v>
      </c>
      <c r="E241" s="9">
        <v>46067</v>
      </c>
      <c r="F241" s="11">
        <v>25836</v>
      </c>
      <c r="G241" s="10">
        <v>0.44391316123224467</v>
      </c>
      <c r="H241" s="10">
        <f t="shared" si="20"/>
        <v>3.108647364722561E-2</v>
      </c>
      <c r="I241">
        <v>24</v>
      </c>
      <c r="J241" s="12">
        <f t="shared" si="21"/>
        <v>1543.4589883460503</v>
      </c>
      <c r="K241">
        <f t="shared" ca="1" si="22"/>
        <v>4</v>
      </c>
      <c r="L241">
        <f ca="1">MIN(DATEDIF(Tabla1[[#This Row],[FechaDesembolso]],TODAY(),"m"),Tabla1[[#This Row],[Plazos (Meses)]])</f>
        <v>5</v>
      </c>
      <c r="M241">
        <f t="shared" ca="1" si="23"/>
        <v>20</v>
      </c>
      <c r="N241" s="8" t="s">
        <v>1252</v>
      </c>
      <c r="O241" s="8">
        <v>4</v>
      </c>
      <c r="P241" s="13">
        <f t="shared" ca="1" si="25"/>
        <v>25836.000000000018</v>
      </c>
      <c r="Q24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1867.8359533842013</v>
      </c>
      <c r="R241" s="8" t="str">
        <f t="shared" si="24"/>
        <v>En mora</v>
      </c>
      <c r="S241">
        <f ca="1">IF(Tabla1[[#This Row],[En Mora]]="No","",DATEDIF((EDATE(Tabla1[[#This Row],[FechaDesembolso]],Tabla1[[#This Row],[Mes de Mora]])),TODAY(),"d"))</f>
        <v>59</v>
      </c>
    </row>
    <row r="242" spans="1:19" x14ac:dyDescent="0.25">
      <c r="A242" t="s">
        <v>1084</v>
      </c>
      <c r="B242" t="s">
        <v>347</v>
      </c>
      <c r="C242" s="8" t="s">
        <v>35</v>
      </c>
      <c r="D242" s="8" t="str">
        <f>_xlfn.XLOOKUP(B242,Clientes!A:A,Clientes!G:G,"No encontrado",0)</f>
        <v>AG04</v>
      </c>
      <c r="E242" s="9">
        <v>45481</v>
      </c>
      <c r="F242" s="11">
        <v>76452</v>
      </c>
      <c r="G242" s="10">
        <v>0.31775143099009739</v>
      </c>
      <c r="H242" s="10">
        <f t="shared" si="20"/>
        <v>2.3260299574924703E-2</v>
      </c>
      <c r="I242">
        <v>55</v>
      </c>
      <c r="J242" s="12">
        <f t="shared" si="21"/>
        <v>2477.8885422471863</v>
      </c>
      <c r="K242">
        <f t="shared" ca="1" si="22"/>
        <v>25</v>
      </c>
      <c r="L242">
        <f ca="1">MIN(DATEDIF(Tabla1[[#This Row],[FechaDesembolso]],TODAY(),"m"),Tabla1[[#This Row],[Plazos (Meses)]])</f>
        <v>25</v>
      </c>
      <c r="M242">
        <f t="shared" ca="1" si="23"/>
        <v>30</v>
      </c>
      <c r="N242" s="8" t="s">
        <v>1251</v>
      </c>
      <c r="O242" s="8" t="s">
        <v>1253</v>
      </c>
      <c r="P242" s="13">
        <f t="shared" ca="1" si="25"/>
        <v>76451.999999999942</v>
      </c>
      <c r="Q24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27196.304465270565</v>
      </c>
      <c r="R242" s="8" t="str">
        <f t="shared" ca="1" si="24"/>
        <v>Vigente</v>
      </c>
      <c r="S242" t="str">
        <f ca="1">IF(Tabla1[[#This Row],[En Mora]]="No","",DATEDIF((EDATE(Tabla1[[#This Row],[FechaDesembolso]],Tabla1[[#This Row],[Mes de Mora]])),TODAY(),"d"))</f>
        <v/>
      </c>
    </row>
    <row r="243" spans="1:19" x14ac:dyDescent="0.25">
      <c r="A243" t="s">
        <v>1085</v>
      </c>
      <c r="B243" t="s">
        <v>239</v>
      </c>
      <c r="C243" s="8" t="s">
        <v>35</v>
      </c>
      <c r="D243" s="8" t="str">
        <f>_xlfn.XLOOKUP(B243,Clientes!A:A,Clientes!G:G,"No encontrado",0)</f>
        <v>AG02</v>
      </c>
      <c r="E243" s="9">
        <v>45797</v>
      </c>
      <c r="F243" s="11">
        <v>85002</v>
      </c>
      <c r="G243" s="10">
        <v>0.32520168111476988</v>
      </c>
      <c r="H243" s="10">
        <f t="shared" si="20"/>
        <v>2.3741160451339116E-2</v>
      </c>
      <c r="I243">
        <v>28</v>
      </c>
      <c r="J243" s="12">
        <f t="shared" si="21"/>
        <v>4190.4030285759054</v>
      </c>
      <c r="K243">
        <f t="shared" ca="1" si="22"/>
        <v>14</v>
      </c>
      <c r="L243">
        <f ca="1">MIN(DATEDIF(Tabla1[[#This Row],[FechaDesembolso]],TODAY(),"m"),Tabla1[[#This Row],[Plazos (Meses)]])</f>
        <v>14</v>
      </c>
      <c r="M243">
        <f t="shared" ca="1" si="23"/>
        <v>14</v>
      </c>
      <c r="N243" s="8" t="s">
        <v>1251</v>
      </c>
      <c r="O243" s="8" t="s">
        <v>1253</v>
      </c>
      <c r="P243" s="13">
        <f t="shared" ca="1" si="25"/>
        <v>85002.000000000073</v>
      </c>
      <c r="Q24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16164.642400062672</v>
      </c>
      <c r="R243" s="8" t="str">
        <f t="shared" ca="1" si="24"/>
        <v>Vigente</v>
      </c>
      <c r="S243" t="str">
        <f ca="1">IF(Tabla1[[#This Row],[En Mora]]="No","",DATEDIF((EDATE(Tabla1[[#This Row],[FechaDesembolso]],Tabla1[[#This Row],[Mes de Mora]])),TODAY(),"d"))</f>
        <v/>
      </c>
    </row>
    <row r="244" spans="1:19" x14ac:dyDescent="0.25">
      <c r="A244" t="s">
        <v>1086</v>
      </c>
      <c r="B244" t="s">
        <v>537</v>
      </c>
      <c r="C244" s="8" t="s">
        <v>39</v>
      </c>
      <c r="D244" s="8" t="str">
        <f>_xlfn.XLOOKUP(B244,Clientes!A:A,Clientes!G:G,"No encontrado",0)</f>
        <v>AG04</v>
      </c>
      <c r="E244" s="9">
        <v>45981</v>
      </c>
      <c r="F244" s="11">
        <v>16552</v>
      </c>
      <c r="G244" s="10">
        <v>0.34930652986947097</v>
      </c>
      <c r="H244" s="10">
        <f t="shared" si="20"/>
        <v>2.5280156071517901E-2</v>
      </c>
      <c r="I244">
        <v>8</v>
      </c>
      <c r="J244" s="12">
        <f t="shared" si="21"/>
        <v>2311.2218883865849</v>
      </c>
      <c r="K244">
        <f t="shared" ca="1" si="22"/>
        <v>8</v>
      </c>
      <c r="L244">
        <f ca="1">MIN(DATEDIF(Tabla1[[#This Row],[FechaDesembolso]],TODAY(),"m"),Tabla1[[#This Row],[Plazos (Meses)]])</f>
        <v>8</v>
      </c>
      <c r="M244">
        <f t="shared" ca="1" si="23"/>
        <v>0</v>
      </c>
      <c r="N244" s="8" t="s">
        <v>1251</v>
      </c>
      <c r="O244" s="8" t="s">
        <v>1253</v>
      </c>
      <c r="P244" s="13">
        <f t="shared" ca="1" si="25"/>
        <v>0</v>
      </c>
      <c r="Q24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44" s="8" t="str">
        <f t="shared" ca="1" si="24"/>
        <v>Cancelado</v>
      </c>
      <c r="S244" t="str">
        <f ca="1">IF(Tabla1[[#This Row],[En Mora]]="No","",DATEDIF((EDATE(Tabla1[[#This Row],[FechaDesembolso]],Tabla1[[#This Row],[Mes de Mora]])),TODAY(),"d"))</f>
        <v/>
      </c>
    </row>
    <row r="245" spans="1:19" x14ac:dyDescent="0.25">
      <c r="A245" t="s">
        <v>1087</v>
      </c>
      <c r="B245" t="s">
        <v>822</v>
      </c>
      <c r="C245" s="8" t="s">
        <v>35</v>
      </c>
      <c r="D245" s="8" t="str">
        <f>_xlfn.XLOOKUP(B245,Clientes!A:A,Clientes!G:G,"No encontrado",0)</f>
        <v>AG01</v>
      </c>
      <c r="E245" s="9">
        <v>45663</v>
      </c>
      <c r="F245" s="11">
        <v>35647</v>
      </c>
      <c r="G245" s="10">
        <v>0.32549059245817624</v>
      </c>
      <c r="H245" s="10">
        <f t="shared" si="20"/>
        <v>2.3759757676206972E-2</v>
      </c>
      <c r="I245">
        <v>49</v>
      </c>
      <c r="J245" s="12">
        <f t="shared" si="21"/>
        <v>1239.0538754466161</v>
      </c>
      <c r="K245">
        <f t="shared" ca="1" si="22"/>
        <v>19</v>
      </c>
      <c r="L245">
        <f ca="1">MIN(DATEDIF(Tabla1[[#This Row],[FechaDesembolso]],TODAY(),"m"),Tabla1[[#This Row],[Plazos (Meses)]])</f>
        <v>19</v>
      </c>
      <c r="M245">
        <f t="shared" ca="1" si="23"/>
        <v>30</v>
      </c>
      <c r="N245" s="8" t="s">
        <v>1251</v>
      </c>
      <c r="O245" s="8" t="s">
        <v>1253</v>
      </c>
      <c r="P245" s="13">
        <f t="shared" ca="1" si="25"/>
        <v>35647.000000000051</v>
      </c>
      <c r="Q24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9719.7175110367261</v>
      </c>
      <c r="R245" s="8" t="str">
        <f t="shared" ca="1" si="24"/>
        <v>Vigente</v>
      </c>
      <c r="S245" t="str">
        <f ca="1">IF(Tabla1[[#This Row],[En Mora]]="No","",DATEDIF((EDATE(Tabla1[[#This Row],[FechaDesembolso]],Tabla1[[#This Row],[Mes de Mora]])),TODAY(),"d"))</f>
        <v/>
      </c>
    </row>
    <row r="246" spans="1:19" x14ac:dyDescent="0.25">
      <c r="A246" t="s">
        <v>1088</v>
      </c>
      <c r="B246" t="s">
        <v>603</v>
      </c>
      <c r="C246" s="8" t="s">
        <v>31</v>
      </c>
      <c r="D246" s="8" t="str">
        <f>_xlfn.XLOOKUP(B246,Clientes!A:A,Clientes!G:G,"No encontrado",0)</f>
        <v>AG03</v>
      </c>
      <c r="E246" s="9">
        <v>44981</v>
      </c>
      <c r="F246" s="11">
        <v>1218</v>
      </c>
      <c r="G246" s="10">
        <v>0.35549899643206018</v>
      </c>
      <c r="H246" s="10">
        <f t="shared" si="20"/>
        <v>2.5671449492036702E-2</v>
      </c>
      <c r="I246">
        <v>23</v>
      </c>
      <c r="J246" s="12">
        <f t="shared" si="21"/>
        <v>70.777836161938041</v>
      </c>
      <c r="K246">
        <f t="shared" ca="1" si="22"/>
        <v>23</v>
      </c>
      <c r="L246">
        <f ca="1">MIN(DATEDIF(Tabla1[[#This Row],[FechaDesembolso]],TODAY(),"m"),Tabla1[[#This Row],[Plazos (Meses)]])</f>
        <v>23</v>
      </c>
      <c r="M246">
        <f t="shared" ca="1" si="23"/>
        <v>0</v>
      </c>
      <c r="N246" s="8" t="s">
        <v>1251</v>
      </c>
      <c r="O246" s="8" t="s">
        <v>1253</v>
      </c>
      <c r="P246" s="13">
        <f t="shared" ca="1" si="25"/>
        <v>0</v>
      </c>
      <c r="Q24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46" s="8" t="str">
        <f t="shared" ca="1" si="24"/>
        <v>Cancelado</v>
      </c>
      <c r="S246" t="str">
        <f ca="1">IF(Tabla1[[#This Row],[En Mora]]="No","",DATEDIF((EDATE(Tabla1[[#This Row],[FechaDesembolso]],Tabla1[[#This Row],[Mes de Mora]])),TODAY(),"d"))</f>
        <v/>
      </c>
    </row>
    <row r="247" spans="1:19" x14ac:dyDescent="0.25">
      <c r="A247" t="s">
        <v>1089</v>
      </c>
      <c r="B247" t="s">
        <v>166</v>
      </c>
      <c r="C247" s="8" t="s">
        <v>39</v>
      </c>
      <c r="D247" s="8" t="str">
        <f>_xlfn.XLOOKUP(B247,Clientes!A:A,Clientes!G:G,"No encontrado",0)</f>
        <v>AG06</v>
      </c>
      <c r="E247" s="9">
        <v>46076</v>
      </c>
      <c r="F247" s="11">
        <v>14751</v>
      </c>
      <c r="G247" s="10">
        <v>0.25175120015322178</v>
      </c>
      <c r="H247" s="10">
        <f t="shared" si="20"/>
        <v>1.8888126745162381E-2</v>
      </c>
      <c r="I247">
        <v>20</v>
      </c>
      <c r="J247" s="12">
        <f t="shared" si="21"/>
        <v>892.47208181852773</v>
      </c>
      <c r="K247">
        <f t="shared" ca="1" si="22"/>
        <v>5</v>
      </c>
      <c r="L247">
        <f ca="1">MIN(DATEDIF(Tabla1[[#This Row],[FechaDesembolso]],TODAY(),"m"),Tabla1[[#This Row],[Plazos (Meses)]])</f>
        <v>5</v>
      </c>
      <c r="M247">
        <f t="shared" ca="1" si="23"/>
        <v>15</v>
      </c>
      <c r="N247" s="8" t="s">
        <v>1251</v>
      </c>
      <c r="O247" s="8" t="s">
        <v>1253</v>
      </c>
      <c r="P247" s="13">
        <f t="shared" ca="1" si="25"/>
        <v>14750.999999999998</v>
      </c>
      <c r="Q24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774.61040909263829</v>
      </c>
      <c r="R247" s="8" t="str">
        <f t="shared" ca="1" si="24"/>
        <v>Vigente</v>
      </c>
      <c r="S247" t="str">
        <f ca="1">IF(Tabla1[[#This Row],[En Mora]]="No","",DATEDIF((EDATE(Tabla1[[#This Row],[FechaDesembolso]],Tabla1[[#This Row],[Mes de Mora]])),TODAY(),"d"))</f>
        <v/>
      </c>
    </row>
    <row r="248" spans="1:19" x14ac:dyDescent="0.25">
      <c r="A248" t="s">
        <v>1090</v>
      </c>
      <c r="B248" t="s">
        <v>501</v>
      </c>
      <c r="C248" s="8" t="s">
        <v>37</v>
      </c>
      <c r="D248" s="8" t="str">
        <f>_xlfn.XLOOKUP(B248,Clientes!A:A,Clientes!G:G,"No encontrado",0)</f>
        <v>AG01</v>
      </c>
      <c r="E248" s="9">
        <v>45709</v>
      </c>
      <c r="F248" s="11">
        <v>57803</v>
      </c>
      <c r="G248" s="10">
        <v>9.2135978887458503E-2</v>
      </c>
      <c r="H248" s="10">
        <f t="shared" si="20"/>
        <v>7.3716538760719708E-3</v>
      </c>
      <c r="I248">
        <v>211</v>
      </c>
      <c r="J248" s="12">
        <f t="shared" si="21"/>
        <v>540.95265892018392</v>
      </c>
      <c r="K248">
        <f t="shared" ca="1" si="22"/>
        <v>17</v>
      </c>
      <c r="L248">
        <f ca="1">MIN(DATEDIF(Tabla1[[#This Row],[FechaDesembolso]],TODAY(),"m"),Tabla1[[#This Row],[Plazos (Meses)]])</f>
        <v>17</v>
      </c>
      <c r="M248">
        <f t="shared" ca="1" si="23"/>
        <v>194</v>
      </c>
      <c r="N248" s="8" t="s">
        <v>1251</v>
      </c>
      <c r="O248" s="8" t="s">
        <v>1253</v>
      </c>
      <c r="P248" s="13">
        <f t="shared" ca="1" si="25"/>
        <v>57803.000000000138</v>
      </c>
      <c r="Q24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4539.0814575672975</v>
      </c>
      <c r="R248" s="8" t="str">
        <f t="shared" ca="1" si="24"/>
        <v>Vigente</v>
      </c>
      <c r="S248" t="str">
        <f ca="1">IF(Tabla1[[#This Row],[En Mora]]="No","",DATEDIF((EDATE(Tabla1[[#This Row],[FechaDesembolso]],Tabla1[[#This Row],[Mes de Mora]])),TODAY(),"d"))</f>
        <v/>
      </c>
    </row>
    <row r="249" spans="1:19" x14ac:dyDescent="0.25">
      <c r="A249" t="s">
        <v>1091</v>
      </c>
      <c r="B249" t="s">
        <v>651</v>
      </c>
      <c r="C249" s="8" t="s">
        <v>37</v>
      </c>
      <c r="D249" s="8" t="str">
        <f>_xlfn.XLOOKUP(B249,Clientes!A:A,Clientes!G:G,"No encontrado",0)</f>
        <v>AG03</v>
      </c>
      <c r="E249" s="9">
        <v>45591</v>
      </c>
      <c r="F249" s="11">
        <v>231421</v>
      </c>
      <c r="G249" s="10">
        <v>0.11495477505582583</v>
      </c>
      <c r="H249" s="10">
        <f t="shared" si="20"/>
        <v>9.1090575323098388E-3</v>
      </c>
      <c r="I249">
        <v>141</v>
      </c>
      <c r="J249" s="12">
        <f t="shared" si="21"/>
        <v>2921.4744238007588</v>
      </c>
      <c r="K249">
        <f t="shared" ca="1" si="22"/>
        <v>21</v>
      </c>
      <c r="L249">
        <f ca="1">MIN(DATEDIF(Tabla1[[#This Row],[FechaDesembolso]],TODAY(),"m"),Tabla1[[#This Row],[Plazos (Meses)]])</f>
        <v>21</v>
      </c>
      <c r="M249">
        <f t="shared" ca="1" si="23"/>
        <v>120</v>
      </c>
      <c r="N249" s="8" t="s">
        <v>1251</v>
      </c>
      <c r="O249" s="8" t="s">
        <v>1253</v>
      </c>
      <c r="P249" s="13">
        <f t="shared" ca="1" si="25"/>
        <v>231421.00000000012</v>
      </c>
      <c r="Q24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26884.005453007427</v>
      </c>
      <c r="R249" s="8" t="str">
        <f t="shared" ca="1" si="24"/>
        <v>Vigente</v>
      </c>
      <c r="S249" t="str">
        <f ca="1">IF(Tabla1[[#This Row],[En Mora]]="No","",DATEDIF((EDATE(Tabla1[[#This Row],[FechaDesembolso]],Tabla1[[#This Row],[Mes de Mora]])),TODAY(),"d"))</f>
        <v/>
      </c>
    </row>
    <row r="250" spans="1:19" x14ac:dyDescent="0.25">
      <c r="A250" t="s">
        <v>1092</v>
      </c>
      <c r="B250" t="s">
        <v>307</v>
      </c>
      <c r="C250" s="8" t="s">
        <v>37</v>
      </c>
      <c r="D250" s="8" t="str">
        <f>_xlfn.XLOOKUP(B250,Clientes!A:A,Clientes!G:G,"No encontrado",0)</f>
        <v>AG04</v>
      </c>
      <c r="E250" s="9">
        <v>45877</v>
      </c>
      <c r="F250" s="11">
        <v>288445</v>
      </c>
      <c r="G250" s="10">
        <v>0.13903605829871338</v>
      </c>
      <c r="H250" s="10">
        <f t="shared" si="20"/>
        <v>1.0907587143494046E-2</v>
      </c>
      <c r="I250">
        <v>111</v>
      </c>
      <c r="J250" s="12">
        <f t="shared" si="21"/>
        <v>4494.2152398916851</v>
      </c>
      <c r="K250">
        <f t="shared" ca="1" si="22"/>
        <v>12</v>
      </c>
      <c r="L250">
        <f ca="1">MIN(DATEDIF(Tabla1[[#This Row],[FechaDesembolso]],TODAY(),"m"),Tabla1[[#This Row],[Plazos (Meses)]])</f>
        <v>12</v>
      </c>
      <c r="M250">
        <f t="shared" ca="1" si="23"/>
        <v>99</v>
      </c>
      <c r="N250" s="8" t="s">
        <v>1251</v>
      </c>
      <c r="O250" s="8" t="s">
        <v>1253</v>
      </c>
      <c r="P250" s="13">
        <f t="shared" ca="1" si="25"/>
        <v>288445.00000000052</v>
      </c>
      <c r="Q25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22747.339635456978</v>
      </c>
      <c r="R250" s="8" t="str">
        <f t="shared" ca="1" si="24"/>
        <v>Vigente</v>
      </c>
      <c r="S250" t="str">
        <f ca="1">IF(Tabla1[[#This Row],[En Mora]]="No","",DATEDIF((EDATE(Tabla1[[#This Row],[FechaDesembolso]],Tabla1[[#This Row],[Mes de Mora]])),TODAY(),"d"))</f>
        <v/>
      </c>
    </row>
    <row r="251" spans="1:19" x14ac:dyDescent="0.25">
      <c r="A251" t="s">
        <v>1093</v>
      </c>
      <c r="B251" t="s">
        <v>618</v>
      </c>
      <c r="C251" s="8" t="s">
        <v>39</v>
      </c>
      <c r="D251" s="8" t="str">
        <f>_xlfn.XLOOKUP(B251,Clientes!A:A,Clientes!G:G,"No encontrado",0)</f>
        <v>AG01</v>
      </c>
      <c r="E251" s="9">
        <v>46170</v>
      </c>
      <c r="F251" s="11">
        <v>4833</v>
      </c>
      <c r="G251" s="10">
        <v>0.3096813077386219</v>
      </c>
      <c r="H251" s="10">
        <f t="shared" si="20"/>
        <v>2.273661034288943E-2</v>
      </c>
      <c r="I251">
        <v>13</v>
      </c>
      <c r="J251" s="12">
        <f t="shared" si="21"/>
        <v>433.59532488878108</v>
      </c>
      <c r="K251">
        <f t="shared" ca="1" si="22"/>
        <v>2</v>
      </c>
      <c r="L251">
        <f ca="1">MIN(DATEDIF(Tabla1[[#This Row],[FechaDesembolso]],TODAY(),"m"),Tabla1[[#This Row],[Plazos (Meses)]])</f>
        <v>2</v>
      </c>
      <c r="M251">
        <f t="shared" ca="1" si="23"/>
        <v>11</v>
      </c>
      <c r="N251" s="8" t="s">
        <v>1251</v>
      </c>
      <c r="O251" s="8" t="s">
        <v>1253</v>
      </c>
      <c r="P251" s="13">
        <f t="shared" ca="1" si="25"/>
        <v>4832.9999999999991</v>
      </c>
      <c r="Q25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123.6521882391006</v>
      </c>
      <c r="R251" s="8" t="str">
        <f t="shared" ca="1" si="24"/>
        <v>Vigente</v>
      </c>
      <c r="S251" t="str">
        <f ca="1">IF(Tabla1[[#This Row],[En Mora]]="No","",DATEDIF((EDATE(Tabla1[[#This Row],[FechaDesembolso]],Tabla1[[#This Row],[Mes de Mora]])),TODAY(),"d"))</f>
        <v/>
      </c>
    </row>
    <row r="252" spans="1:19" x14ac:dyDescent="0.25">
      <c r="A252" t="s">
        <v>1094</v>
      </c>
      <c r="B252" t="s">
        <v>365</v>
      </c>
      <c r="C252" s="8" t="s">
        <v>37</v>
      </c>
      <c r="D252" s="8" t="str">
        <f>_xlfn.XLOOKUP(B252,Clientes!A:A,Clientes!G:G,"No encontrado",0)</f>
        <v>AG06</v>
      </c>
      <c r="E252" s="9">
        <v>45648</v>
      </c>
      <c r="F252" s="11">
        <v>238413</v>
      </c>
      <c r="G252" s="10">
        <v>9.0430179853146581E-2</v>
      </c>
      <c r="H252" s="10">
        <f t="shared" si="20"/>
        <v>7.2404427308032648E-3</v>
      </c>
      <c r="I252">
        <v>189</v>
      </c>
      <c r="J252" s="12">
        <f t="shared" si="21"/>
        <v>2319.4360508837194</v>
      </c>
      <c r="K252">
        <f t="shared" ca="1" si="22"/>
        <v>19</v>
      </c>
      <c r="L252">
        <f ca="1">MIN(DATEDIF(Tabla1[[#This Row],[FechaDesembolso]],TODAY(),"m"),Tabla1[[#This Row],[Plazos (Meses)]])</f>
        <v>19</v>
      </c>
      <c r="M252">
        <f t="shared" ca="1" si="23"/>
        <v>170</v>
      </c>
      <c r="N252" s="8" t="s">
        <v>1251</v>
      </c>
      <c r="O252" s="8" t="s">
        <v>1253</v>
      </c>
      <c r="P252" s="13">
        <f t="shared" ca="1" si="25"/>
        <v>238413.00000000058</v>
      </c>
      <c r="Q25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20101.840522346225</v>
      </c>
      <c r="R252" s="8" t="str">
        <f t="shared" ca="1" si="24"/>
        <v>Vigente</v>
      </c>
      <c r="S252" t="str">
        <f ca="1">IF(Tabla1[[#This Row],[En Mora]]="No","",DATEDIF((EDATE(Tabla1[[#This Row],[FechaDesembolso]],Tabla1[[#This Row],[Mes de Mora]])),TODAY(),"d"))</f>
        <v/>
      </c>
    </row>
    <row r="253" spans="1:19" x14ac:dyDescent="0.25">
      <c r="A253" t="s">
        <v>1095</v>
      </c>
      <c r="B253" t="s">
        <v>471</v>
      </c>
      <c r="C253" s="8" t="s">
        <v>31</v>
      </c>
      <c r="D253" s="8" t="str">
        <f>_xlfn.XLOOKUP(B253,Clientes!A:A,Clientes!G:G,"No encontrado",0)</f>
        <v>AG03</v>
      </c>
      <c r="E253" s="9">
        <v>46026</v>
      </c>
      <c r="F253" s="11">
        <v>7567</v>
      </c>
      <c r="G253" s="10">
        <v>0.48140406898078647</v>
      </c>
      <c r="H253" s="10">
        <f t="shared" si="20"/>
        <v>3.3291351526013147E-2</v>
      </c>
      <c r="I253">
        <v>22</v>
      </c>
      <c r="J253" s="12">
        <f t="shared" si="21"/>
        <v>490.60228498583905</v>
      </c>
      <c r="K253">
        <f t="shared" ca="1" si="22"/>
        <v>7</v>
      </c>
      <c r="L253">
        <f ca="1">MIN(DATEDIF(Tabla1[[#This Row],[FechaDesembolso]],TODAY(),"m"),Tabla1[[#This Row],[Plazos (Meses)]])</f>
        <v>7</v>
      </c>
      <c r="M253">
        <f t="shared" ca="1" si="23"/>
        <v>15</v>
      </c>
      <c r="N253" s="8" t="s">
        <v>1251</v>
      </c>
      <c r="O253" s="8" t="s">
        <v>1253</v>
      </c>
      <c r="P253" s="13">
        <f t="shared" ca="1" si="25"/>
        <v>7566.9999999999936</v>
      </c>
      <c r="Q25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1026.534176719055</v>
      </c>
      <c r="R253" s="8" t="str">
        <f t="shared" ca="1" si="24"/>
        <v>Vigente</v>
      </c>
      <c r="S253" t="str">
        <f ca="1">IF(Tabla1[[#This Row],[En Mora]]="No","",DATEDIF((EDATE(Tabla1[[#This Row],[FechaDesembolso]],Tabla1[[#This Row],[Mes de Mora]])),TODAY(),"d"))</f>
        <v/>
      </c>
    </row>
    <row r="254" spans="1:19" x14ac:dyDescent="0.25">
      <c r="A254" t="s">
        <v>1096</v>
      </c>
      <c r="B254" t="s">
        <v>123</v>
      </c>
      <c r="C254" s="8" t="s">
        <v>35</v>
      </c>
      <c r="D254" s="8" t="str">
        <f>_xlfn.XLOOKUP(B254,Clientes!A:A,Clientes!G:G,"No encontrado",0)</f>
        <v>AG03</v>
      </c>
      <c r="E254" s="9">
        <v>46120</v>
      </c>
      <c r="F254" s="11">
        <v>8672</v>
      </c>
      <c r="G254" s="10">
        <v>0.20685584223716832</v>
      </c>
      <c r="H254" s="10">
        <f t="shared" si="20"/>
        <v>1.5791598318761979E-2</v>
      </c>
      <c r="I254">
        <v>25</v>
      </c>
      <c r="J254" s="12">
        <f t="shared" si="21"/>
        <v>422.54288733211524</v>
      </c>
      <c r="K254">
        <f t="shared" ca="1" si="22"/>
        <v>4</v>
      </c>
      <c r="L254">
        <f ca="1">MIN(DATEDIF(Tabla1[[#This Row],[FechaDesembolso]],TODAY(),"m"),Tabla1[[#This Row],[Plazos (Meses)]])</f>
        <v>4</v>
      </c>
      <c r="M254">
        <f t="shared" ca="1" si="23"/>
        <v>21</v>
      </c>
      <c r="N254" s="8" t="s">
        <v>1251</v>
      </c>
      <c r="O254" s="8" t="s">
        <v>1253</v>
      </c>
      <c r="P254" s="13">
        <f t="shared" ca="1" si="25"/>
        <v>8672.0000000000146</v>
      </c>
      <c r="Q25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302.65154932846082</v>
      </c>
      <c r="R254" s="8" t="str">
        <f t="shared" ca="1" si="24"/>
        <v>Vigente</v>
      </c>
      <c r="S254" t="str">
        <f ca="1">IF(Tabla1[[#This Row],[En Mora]]="No","",DATEDIF((EDATE(Tabla1[[#This Row],[FechaDesembolso]],Tabla1[[#This Row],[Mes de Mora]])),TODAY(),"d"))</f>
        <v/>
      </c>
    </row>
    <row r="255" spans="1:19" x14ac:dyDescent="0.25">
      <c r="A255" t="s">
        <v>1097</v>
      </c>
      <c r="B255" t="s">
        <v>549</v>
      </c>
      <c r="C255" s="8" t="s">
        <v>33</v>
      </c>
      <c r="D255" s="8" t="str">
        <f>_xlfn.XLOOKUP(B255,Clientes!A:A,Clientes!G:G,"No encontrado",0)</f>
        <v>AG05</v>
      </c>
      <c r="E255" s="9">
        <v>45786</v>
      </c>
      <c r="F255" s="11">
        <v>10571</v>
      </c>
      <c r="G255" s="10">
        <v>0.40616392489778785</v>
      </c>
      <c r="H255" s="10">
        <f t="shared" si="20"/>
        <v>2.8812729945935756E-2</v>
      </c>
      <c r="I255">
        <v>25</v>
      </c>
      <c r="J255" s="12">
        <f t="shared" si="21"/>
        <v>599.06713897677571</v>
      </c>
      <c r="K255">
        <f t="shared" ca="1" si="22"/>
        <v>15</v>
      </c>
      <c r="L255">
        <f ca="1">MIN(DATEDIF(Tabla1[[#This Row],[FechaDesembolso]],TODAY(),"m"),Tabla1[[#This Row],[Plazos (Meses)]])</f>
        <v>15</v>
      </c>
      <c r="M255">
        <f t="shared" ca="1" si="23"/>
        <v>10</v>
      </c>
      <c r="N255" s="8" t="s">
        <v>1251</v>
      </c>
      <c r="O255" s="8" t="s">
        <v>1253</v>
      </c>
      <c r="P255" s="13">
        <f t="shared" ca="1" si="25"/>
        <v>10570.999999999996</v>
      </c>
      <c r="Q25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2643.4070846516352</v>
      </c>
      <c r="R255" s="8" t="str">
        <f t="shared" ca="1" si="24"/>
        <v>Vigente</v>
      </c>
      <c r="S255" t="str">
        <f ca="1">IF(Tabla1[[#This Row],[En Mora]]="No","",DATEDIF((EDATE(Tabla1[[#This Row],[FechaDesembolso]],Tabla1[[#This Row],[Mes de Mora]])),TODAY(),"d"))</f>
        <v/>
      </c>
    </row>
    <row r="256" spans="1:19" x14ac:dyDescent="0.25">
      <c r="A256" t="s">
        <v>1098</v>
      </c>
      <c r="B256" t="s">
        <v>588</v>
      </c>
      <c r="C256" s="8" t="s">
        <v>39</v>
      </c>
      <c r="D256" s="8" t="str">
        <f>_xlfn.XLOOKUP(B256,Clientes!A:A,Clientes!G:G,"No encontrado",0)</f>
        <v>AG08</v>
      </c>
      <c r="E256" s="9">
        <v>45794</v>
      </c>
      <c r="F256" s="11">
        <v>2549</v>
      </c>
      <c r="G256" s="10">
        <v>0.23783535568378142</v>
      </c>
      <c r="H256" s="10">
        <f t="shared" si="20"/>
        <v>1.7939359181458281E-2</v>
      </c>
      <c r="I256">
        <v>13</v>
      </c>
      <c r="J256" s="12">
        <f t="shared" si="21"/>
        <v>221.57419204904059</v>
      </c>
      <c r="K256">
        <f t="shared" ca="1" si="22"/>
        <v>5</v>
      </c>
      <c r="L256">
        <f ca="1">MIN(DATEDIF(Tabla1[[#This Row],[FechaDesembolso]],TODAY(),"m"),Tabla1[[#This Row],[Plazos (Meses)]])</f>
        <v>13</v>
      </c>
      <c r="M256">
        <f t="shared" ca="1" si="23"/>
        <v>8</v>
      </c>
      <c r="N256" s="8" t="s">
        <v>1252</v>
      </c>
      <c r="O256" s="8">
        <v>5</v>
      </c>
      <c r="P256" s="13">
        <f t="shared" ca="1" si="25"/>
        <v>2549.0000000000009</v>
      </c>
      <c r="Q25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127.48634486058756</v>
      </c>
      <c r="R256" s="8" t="str">
        <f t="shared" si="24"/>
        <v>En mora</v>
      </c>
      <c r="S256">
        <f ca="1">IF(Tabla1[[#This Row],[En Mora]]="No","",DATEDIF((EDATE(Tabla1[[#This Row],[FechaDesembolso]],Tabla1[[#This Row],[Mes de Mora]])),TODAY(),"d"))</f>
        <v>299</v>
      </c>
    </row>
    <row r="257" spans="1:19" x14ac:dyDescent="0.25">
      <c r="A257" t="s">
        <v>1099</v>
      </c>
      <c r="B257" t="s">
        <v>471</v>
      </c>
      <c r="C257" s="8" t="s">
        <v>39</v>
      </c>
      <c r="D257" s="8" t="str">
        <f>_xlfn.XLOOKUP(B257,Clientes!A:A,Clientes!G:G,"No encontrado",0)</f>
        <v>AG03</v>
      </c>
      <c r="E257" s="9">
        <v>45556</v>
      </c>
      <c r="F257" s="11">
        <v>7473</v>
      </c>
      <c r="G257" s="10">
        <v>0.22201533204387172</v>
      </c>
      <c r="H257" s="10">
        <f t="shared" si="20"/>
        <v>1.6848817454647502E-2</v>
      </c>
      <c r="I257">
        <v>13</v>
      </c>
      <c r="J257" s="12">
        <f t="shared" si="21"/>
        <v>644.90831977082837</v>
      </c>
      <c r="K257">
        <f t="shared" ca="1" si="22"/>
        <v>6</v>
      </c>
      <c r="L257">
        <f ca="1">MIN(DATEDIF(Tabla1[[#This Row],[FechaDesembolso]],TODAY(),"m"),Tabla1[[#This Row],[Plazos (Meses)]])</f>
        <v>13</v>
      </c>
      <c r="M257">
        <f t="shared" ca="1" si="23"/>
        <v>7</v>
      </c>
      <c r="N257" s="8" t="s">
        <v>1252</v>
      </c>
      <c r="O257" s="8">
        <v>6</v>
      </c>
      <c r="P257" s="13">
        <f t="shared" ca="1" si="25"/>
        <v>7473.0000000000227</v>
      </c>
      <c r="Q25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420.37299554804713</v>
      </c>
      <c r="R257" s="8" t="str">
        <f t="shared" si="24"/>
        <v>En mora</v>
      </c>
      <c r="S257">
        <f ca="1">IF(Tabla1[[#This Row],[En Mora]]="No","",DATEDIF((EDATE(Tabla1[[#This Row],[FechaDesembolso]],Tabla1[[#This Row],[Mes de Mora]])),TODAY(),"d"))</f>
        <v>509</v>
      </c>
    </row>
    <row r="258" spans="1:19" x14ac:dyDescent="0.25">
      <c r="A258" t="s">
        <v>1100</v>
      </c>
      <c r="B258" t="s">
        <v>401</v>
      </c>
      <c r="C258" s="8" t="s">
        <v>35</v>
      </c>
      <c r="D258" s="8" t="str">
        <f>_xlfn.XLOOKUP(B258,Clientes!A:A,Clientes!G:G,"No encontrado",0)</f>
        <v>AG06</v>
      </c>
      <c r="E258" s="9">
        <v>46095</v>
      </c>
      <c r="F258" s="11">
        <v>31198</v>
      </c>
      <c r="G258" s="10">
        <v>0.21429347831202294</v>
      </c>
      <c r="H258" s="10">
        <f t="shared" si="20"/>
        <v>1.6311808999108557E-2</v>
      </c>
      <c r="I258">
        <v>58</v>
      </c>
      <c r="J258" s="12">
        <f t="shared" si="21"/>
        <v>835.94533059556102</v>
      </c>
      <c r="K258">
        <f t="shared" ca="1" si="22"/>
        <v>4</v>
      </c>
      <c r="L258">
        <f ca="1">MIN(DATEDIF(Tabla1[[#This Row],[FechaDesembolso]],TODAY(),"m"),Tabla1[[#This Row],[Plazos (Meses)]])</f>
        <v>4</v>
      </c>
      <c r="M258">
        <f t="shared" ca="1" si="23"/>
        <v>54</v>
      </c>
      <c r="N258" s="8" t="s">
        <v>1251</v>
      </c>
      <c r="O258" s="8" t="s">
        <v>1253</v>
      </c>
      <c r="P258" s="13">
        <f t="shared" ca="1" si="25"/>
        <v>31197.999999999985</v>
      </c>
      <c r="Q25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1192.1951154856922</v>
      </c>
      <c r="R258" s="8" t="str">
        <f t="shared" ca="1" si="24"/>
        <v>Vigente</v>
      </c>
      <c r="S258" t="str">
        <f ca="1">IF(Tabla1[[#This Row],[En Mora]]="No","",DATEDIF((EDATE(Tabla1[[#This Row],[FechaDesembolso]],Tabla1[[#This Row],[Mes de Mora]])),TODAY(),"d"))</f>
        <v/>
      </c>
    </row>
    <row r="259" spans="1:19" x14ac:dyDescent="0.25">
      <c r="A259" t="s">
        <v>1101</v>
      </c>
      <c r="B259" t="s">
        <v>365</v>
      </c>
      <c r="C259" s="8" t="s">
        <v>39</v>
      </c>
      <c r="D259" s="8" t="str">
        <f>_xlfn.XLOOKUP(B259,Clientes!A:A,Clientes!G:G,"No encontrado",0)</f>
        <v>AG06</v>
      </c>
      <c r="E259" s="9">
        <v>45842</v>
      </c>
      <c r="F259" s="11">
        <v>15163</v>
      </c>
      <c r="G259" s="10">
        <v>0.35540644477821703</v>
      </c>
      <c r="H259" s="10">
        <f t="shared" ref="H259:H322" si="26">(1+G259)^(1/12)-1</f>
        <v>2.5665613353461625E-2</v>
      </c>
      <c r="I259">
        <v>6</v>
      </c>
      <c r="J259" s="12">
        <f t="shared" ref="J259:J322" si="27">PMT(H259,I259,-F259,,)</f>
        <v>2758.9733841859043</v>
      </c>
      <c r="K259">
        <f t="shared" ref="K259:K322" ca="1" si="28">IF(N259="SI",O259,MIN(DATEDIF(E259,TODAY(),"m"),I259))</f>
        <v>6</v>
      </c>
      <c r="L259">
        <f ca="1">MIN(DATEDIF(Tabla1[[#This Row],[FechaDesembolso]],TODAY(),"m"),Tabla1[[#This Row],[Plazos (Meses)]])</f>
        <v>6</v>
      </c>
      <c r="M259">
        <f t="shared" ref="M259:M322" ca="1" si="29">I259-K259</f>
        <v>0</v>
      </c>
      <c r="N259" s="8" t="s">
        <v>1251</v>
      </c>
      <c r="O259" s="8" t="s">
        <v>1253</v>
      </c>
      <c r="P259" s="13">
        <f t="shared" ca="1" si="25"/>
        <v>0</v>
      </c>
      <c r="Q25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59" s="8" t="str">
        <f t="shared" ref="R259:R322" ca="1" si="30">IF(N259="SI","En mora",IF(K259&gt;=I259,"Cancelado","Vigente"))</f>
        <v>Cancelado</v>
      </c>
      <c r="S259" t="str">
        <f ca="1">IF(Tabla1[[#This Row],[En Mora]]="No","",DATEDIF((EDATE(Tabla1[[#This Row],[FechaDesembolso]],Tabla1[[#This Row],[Mes de Mora]])),TODAY(),"d"))</f>
        <v/>
      </c>
    </row>
    <row r="260" spans="1:19" x14ac:dyDescent="0.25">
      <c r="A260" t="s">
        <v>1102</v>
      </c>
      <c r="B260" t="s">
        <v>251</v>
      </c>
      <c r="C260" s="8" t="s">
        <v>39</v>
      </c>
      <c r="D260" s="8" t="str">
        <f>_xlfn.XLOOKUP(B260,Clientes!A:A,Clientes!G:G,"No encontrado",0)</f>
        <v>AG08</v>
      </c>
      <c r="E260" s="9">
        <v>45839</v>
      </c>
      <c r="F260" s="11">
        <v>18710</v>
      </c>
      <c r="G260" s="10">
        <v>0.23272223976150902</v>
      </c>
      <c r="H260" s="10">
        <f t="shared" si="26"/>
        <v>1.7588294586672326E-2</v>
      </c>
      <c r="I260">
        <v>16</v>
      </c>
      <c r="J260" s="12">
        <f t="shared" si="27"/>
        <v>1351.8074878299449</v>
      </c>
      <c r="K260">
        <f t="shared" ca="1" si="28"/>
        <v>13</v>
      </c>
      <c r="L260">
        <f ca="1">MIN(DATEDIF(Tabla1[[#This Row],[FechaDesembolso]],TODAY(),"m"),Tabla1[[#This Row],[Plazos (Meses)]])</f>
        <v>13</v>
      </c>
      <c r="M260">
        <f t="shared" ca="1" si="29"/>
        <v>3</v>
      </c>
      <c r="N260" s="8" t="s">
        <v>1251</v>
      </c>
      <c r="O260" s="8" t="s">
        <v>1253</v>
      </c>
      <c r="P260" s="13">
        <f t="shared" ca="1" si="25"/>
        <v>18710.000000000007</v>
      </c>
      <c r="Q26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2371.6223417892834</v>
      </c>
      <c r="R260" s="8" t="str">
        <f t="shared" ca="1" si="30"/>
        <v>Vigente</v>
      </c>
      <c r="S260" t="str">
        <f ca="1">IF(Tabla1[[#This Row],[En Mora]]="No","",DATEDIF((EDATE(Tabla1[[#This Row],[FechaDesembolso]],Tabla1[[#This Row],[Mes de Mora]])),TODAY(),"d"))</f>
        <v/>
      </c>
    </row>
    <row r="261" spans="1:19" x14ac:dyDescent="0.25">
      <c r="A261" t="s">
        <v>1103</v>
      </c>
      <c r="B261" t="s">
        <v>756</v>
      </c>
      <c r="C261" s="8" t="s">
        <v>39</v>
      </c>
      <c r="D261" s="8" t="str">
        <f>_xlfn.XLOOKUP(B261,Clientes!A:A,Clientes!G:G,"No encontrado",0)</f>
        <v>AG04</v>
      </c>
      <c r="E261" s="9">
        <v>46015</v>
      </c>
      <c r="F261" s="11">
        <v>5167</v>
      </c>
      <c r="G261" s="10">
        <v>0.37681845582829054</v>
      </c>
      <c r="H261" s="10">
        <f t="shared" si="26"/>
        <v>2.7006179078827852E-2</v>
      </c>
      <c r="I261">
        <v>18</v>
      </c>
      <c r="J261" s="12">
        <f t="shared" si="27"/>
        <v>366.24138818077745</v>
      </c>
      <c r="K261">
        <f t="shared" ca="1" si="28"/>
        <v>7</v>
      </c>
      <c r="L261">
        <f ca="1">MIN(DATEDIF(Tabla1[[#This Row],[FechaDesembolso]],TODAY(),"m"),Tabla1[[#This Row],[Plazos (Meses)]])</f>
        <v>7</v>
      </c>
      <c r="M261">
        <f t="shared" ca="1" si="29"/>
        <v>11</v>
      </c>
      <c r="N261" s="8" t="s">
        <v>1251</v>
      </c>
      <c r="O261" s="8" t="s">
        <v>1253</v>
      </c>
      <c r="P261" s="13">
        <f t="shared" ref="P261:P324" ca="1" si="31">IF(M261=0,0,PV(H261,I261,-J261))</f>
        <v>5166.9999999999991</v>
      </c>
      <c r="Q26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554.30082837655323</v>
      </c>
      <c r="R261" s="8" t="str">
        <f t="shared" ca="1" si="30"/>
        <v>Vigente</v>
      </c>
      <c r="S261" t="str">
        <f ca="1">IF(Tabla1[[#This Row],[En Mora]]="No","",DATEDIF((EDATE(Tabla1[[#This Row],[FechaDesembolso]],Tabla1[[#This Row],[Mes de Mora]])),TODAY(),"d"))</f>
        <v/>
      </c>
    </row>
    <row r="262" spans="1:19" x14ac:dyDescent="0.25">
      <c r="A262" t="s">
        <v>1104</v>
      </c>
      <c r="B262" t="s">
        <v>582</v>
      </c>
      <c r="C262" s="8" t="s">
        <v>39</v>
      </c>
      <c r="D262" s="8" t="str">
        <f>_xlfn.XLOOKUP(B262,Clientes!A:A,Clientes!G:G,"No encontrado",0)</f>
        <v>AG05</v>
      </c>
      <c r="E262" s="9">
        <v>45648</v>
      </c>
      <c r="F262" s="11">
        <v>13696</v>
      </c>
      <c r="G262" s="10">
        <v>0.36056803183562269</v>
      </c>
      <c r="H262" s="10">
        <f t="shared" si="26"/>
        <v>2.5990537077406506E-2</v>
      </c>
      <c r="I262">
        <v>22</v>
      </c>
      <c r="J262" s="12">
        <f t="shared" si="27"/>
        <v>825.24082476665274</v>
      </c>
      <c r="K262">
        <f t="shared" ca="1" si="28"/>
        <v>19</v>
      </c>
      <c r="L262">
        <f ca="1">MIN(DATEDIF(Tabla1[[#This Row],[FechaDesembolso]],TODAY(),"m"),Tabla1[[#This Row],[Plazos (Meses)]])</f>
        <v>19</v>
      </c>
      <c r="M262">
        <f t="shared" ca="1" si="29"/>
        <v>3</v>
      </c>
      <c r="N262" s="8" t="s">
        <v>1251</v>
      </c>
      <c r="O262" s="8" t="s">
        <v>1253</v>
      </c>
      <c r="P262" s="13">
        <f t="shared" ca="1" si="31"/>
        <v>13695.999999999987</v>
      </c>
      <c r="Q26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3851.2120342027652</v>
      </c>
      <c r="R262" s="8" t="str">
        <f t="shared" ca="1" si="30"/>
        <v>Vigente</v>
      </c>
      <c r="S262" t="str">
        <f ca="1">IF(Tabla1[[#This Row],[En Mora]]="No","",DATEDIF((EDATE(Tabla1[[#This Row],[FechaDesembolso]],Tabla1[[#This Row],[Mes de Mora]])),TODAY(),"d"))</f>
        <v/>
      </c>
    </row>
    <row r="263" spans="1:19" x14ac:dyDescent="0.25">
      <c r="A263" t="s">
        <v>1105</v>
      </c>
      <c r="B263" t="s">
        <v>239</v>
      </c>
      <c r="C263" s="8" t="s">
        <v>39</v>
      </c>
      <c r="D263" s="8" t="str">
        <f>_xlfn.XLOOKUP(B263,Clientes!A:A,Clientes!G:G,"No encontrado",0)</f>
        <v>AG02</v>
      </c>
      <c r="E263" s="9">
        <v>45930</v>
      </c>
      <c r="F263" s="11">
        <v>1859</v>
      </c>
      <c r="G263" s="10">
        <v>0.24241384306457467</v>
      </c>
      <c r="H263" s="10">
        <f t="shared" si="26"/>
        <v>1.8252590128353008E-2</v>
      </c>
      <c r="I263">
        <v>15</v>
      </c>
      <c r="J263" s="12">
        <f t="shared" si="27"/>
        <v>142.79301182936698</v>
      </c>
      <c r="K263">
        <f t="shared" ca="1" si="28"/>
        <v>10</v>
      </c>
      <c r="L263">
        <f ca="1">MIN(DATEDIF(Tabla1[[#This Row],[FechaDesembolso]],TODAY(),"m"),Tabla1[[#This Row],[Plazos (Meses)]])</f>
        <v>10</v>
      </c>
      <c r="M263">
        <f t="shared" ca="1" si="29"/>
        <v>5</v>
      </c>
      <c r="N263" s="8" t="s">
        <v>1251</v>
      </c>
      <c r="O263" s="8" t="s">
        <v>1253</v>
      </c>
      <c r="P263" s="13">
        <f t="shared" ca="1" si="31"/>
        <v>1858.999999999995</v>
      </c>
      <c r="Q26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188.59678496033635</v>
      </c>
      <c r="R263" s="8" t="str">
        <f t="shared" ca="1" si="30"/>
        <v>Vigente</v>
      </c>
      <c r="S263" t="str">
        <f ca="1">IF(Tabla1[[#This Row],[En Mora]]="No","",DATEDIF((EDATE(Tabla1[[#This Row],[FechaDesembolso]],Tabla1[[#This Row],[Mes de Mora]])),TODAY(),"d"))</f>
        <v/>
      </c>
    </row>
    <row r="264" spans="1:19" x14ac:dyDescent="0.25">
      <c r="A264" t="s">
        <v>1106</v>
      </c>
      <c r="B264" t="s">
        <v>522</v>
      </c>
      <c r="C264" s="8" t="s">
        <v>35</v>
      </c>
      <c r="D264" s="8" t="str">
        <f>_xlfn.XLOOKUP(B264,Clientes!A:A,Clientes!G:G,"No encontrado",0)</f>
        <v>AG04</v>
      </c>
      <c r="E264" s="9">
        <v>45561</v>
      </c>
      <c r="F264" s="11">
        <v>56203</v>
      </c>
      <c r="G264" s="10">
        <v>0.22067122120814148</v>
      </c>
      <c r="H264" s="10">
        <f t="shared" si="26"/>
        <v>1.6755566645799913E-2</v>
      </c>
      <c r="I264">
        <v>17</v>
      </c>
      <c r="J264" s="12">
        <f t="shared" si="27"/>
        <v>3826.6749776260385</v>
      </c>
      <c r="K264">
        <f t="shared" ca="1" si="28"/>
        <v>17</v>
      </c>
      <c r="L264">
        <f ca="1">MIN(DATEDIF(Tabla1[[#This Row],[FechaDesembolso]],TODAY(),"m"),Tabla1[[#This Row],[Plazos (Meses)]])</f>
        <v>17</v>
      </c>
      <c r="M264">
        <f t="shared" ca="1" si="29"/>
        <v>0</v>
      </c>
      <c r="N264" s="8" t="s">
        <v>1251</v>
      </c>
      <c r="O264" s="8" t="s">
        <v>1253</v>
      </c>
      <c r="P264" s="13">
        <f t="shared" ca="1" si="31"/>
        <v>0</v>
      </c>
      <c r="Q26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64" s="8" t="str">
        <f t="shared" ca="1" si="30"/>
        <v>Cancelado</v>
      </c>
      <c r="S264" t="str">
        <f ca="1">IF(Tabla1[[#This Row],[En Mora]]="No","",DATEDIF((EDATE(Tabla1[[#This Row],[FechaDesembolso]],Tabla1[[#This Row],[Mes de Mora]])),TODAY(),"d"))</f>
        <v/>
      </c>
    </row>
    <row r="265" spans="1:19" x14ac:dyDescent="0.25">
      <c r="A265" t="s">
        <v>1107</v>
      </c>
      <c r="B265" t="s">
        <v>552</v>
      </c>
      <c r="C265" s="8" t="s">
        <v>39</v>
      </c>
      <c r="D265" s="8" t="str">
        <f>_xlfn.XLOOKUP(B265,Clientes!A:A,Clientes!G:G,"No encontrado",0)</f>
        <v>AG05</v>
      </c>
      <c r="E265" s="9">
        <v>46170</v>
      </c>
      <c r="F265" s="11">
        <v>9632</v>
      </c>
      <c r="G265" s="10">
        <v>0.32350365807098536</v>
      </c>
      <c r="H265" s="10">
        <f t="shared" si="26"/>
        <v>2.3631783527337413E-2</v>
      </c>
      <c r="I265">
        <v>8</v>
      </c>
      <c r="J265" s="12">
        <f t="shared" si="27"/>
        <v>1335.5239112709874</v>
      </c>
      <c r="K265">
        <f t="shared" ca="1" si="28"/>
        <v>2</v>
      </c>
      <c r="L265">
        <f ca="1">MIN(DATEDIF(Tabla1[[#This Row],[FechaDesembolso]],TODAY(),"m"),Tabla1[[#This Row],[Plazos (Meses)]])</f>
        <v>2</v>
      </c>
      <c r="M265">
        <f t="shared" ca="1" si="29"/>
        <v>6</v>
      </c>
      <c r="N265" s="8" t="s">
        <v>1251</v>
      </c>
      <c r="O265" s="8" t="s">
        <v>1253</v>
      </c>
      <c r="P265" s="13">
        <f t="shared" ca="1" si="31"/>
        <v>9632.0000000000091</v>
      </c>
      <c r="Q26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263.04782254197471</v>
      </c>
      <c r="R265" s="8" t="str">
        <f t="shared" ca="1" si="30"/>
        <v>Vigente</v>
      </c>
      <c r="S265" t="str">
        <f ca="1">IF(Tabla1[[#This Row],[En Mora]]="No","",DATEDIF((EDATE(Tabla1[[#This Row],[FechaDesembolso]],Tabla1[[#This Row],[Mes de Mora]])),TODAY(),"d"))</f>
        <v/>
      </c>
    </row>
    <row r="266" spans="1:19" x14ac:dyDescent="0.25">
      <c r="A266" t="s">
        <v>1108</v>
      </c>
      <c r="B266" t="s">
        <v>822</v>
      </c>
      <c r="C266" s="8" t="s">
        <v>33</v>
      </c>
      <c r="D266" s="8" t="str">
        <f>_xlfn.XLOOKUP(B266,Clientes!A:A,Clientes!G:G,"No encontrado",0)</f>
        <v>AG01</v>
      </c>
      <c r="E266" s="9">
        <v>45874</v>
      </c>
      <c r="F266" s="11">
        <v>9677</v>
      </c>
      <c r="G266" s="10">
        <v>0.35617921758772331</v>
      </c>
      <c r="H266" s="10">
        <f t="shared" si="26"/>
        <v>2.5714331793628586E-2</v>
      </c>
      <c r="I266">
        <v>40</v>
      </c>
      <c r="J266" s="12">
        <f t="shared" si="27"/>
        <v>390.14712006785953</v>
      </c>
      <c r="K266">
        <f t="shared" ca="1" si="28"/>
        <v>12</v>
      </c>
      <c r="L266">
        <f ca="1">MIN(DATEDIF(Tabla1[[#This Row],[FechaDesembolso]],TODAY(),"m"),Tabla1[[#This Row],[Plazos (Meses)]])</f>
        <v>12</v>
      </c>
      <c r="M266">
        <f t="shared" ca="1" si="29"/>
        <v>28</v>
      </c>
      <c r="N266" s="8" t="s">
        <v>1251</v>
      </c>
      <c r="O266" s="8" t="s">
        <v>1253</v>
      </c>
      <c r="P266" s="13">
        <f t="shared" ca="1" si="31"/>
        <v>9677.0000000000036</v>
      </c>
      <c r="Q26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1778.6654408143143</v>
      </c>
      <c r="R266" s="8" t="str">
        <f t="shared" ca="1" si="30"/>
        <v>Vigente</v>
      </c>
      <c r="S266" t="str">
        <f ca="1">IF(Tabla1[[#This Row],[En Mora]]="No","",DATEDIF((EDATE(Tabla1[[#This Row],[FechaDesembolso]],Tabla1[[#This Row],[Mes de Mora]])),TODAY(),"d"))</f>
        <v/>
      </c>
    </row>
    <row r="267" spans="1:19" x14ac:dyDescent="0.25">
      <c r="A267" t="s">
        <v>1109</v>
      </c>
      <c r="B267" t="s">
        <v>636</v>
      </c>
      <c r="C267" s="8" t="s">
        <v>31</v>
      </c>
      <c r="D267" s="8" t="str">
        <f>_xlfn.XLOOKUP(B267,Clientes!A:A,Clientes!G:G,"No encontrado",0)</f>
        <v>AG07</v>
      </c>
      <c r="E267" s="9">
        <v>45764</v>
      </c>
      <c r="F267" s="11">
        <v>7036</v>
      </c>
      <c r="G267" s="10">
        <v>0.47505852366627527</v>
      </c>
      <c r="H267" s="10">
        <f t="shared" si="26"/>
        <v>3.2921786302984923E-2</v>
      </c>
      <c r="I267">
        <v>30</v>
      </c>
      <c r="J267" s="12">
        <f t="shared" si="27"/>
        <v>372.66095168111207</v>
      </c>
      <c r="K267">
        <f t="shared" ca="1" si="28"/>
        <v>15</v>
      </c>
      <c r="L267">
        <f ca="1">MIN(DATEDIF(Tabla1[[#This Row],[FechaDesembolso]],TODAY(),"m"),Tabla1[[#This Row],[Plazos (Meses)]])</f>
        <v>15</v>
      </c>
      <c r="M267">
        <f t="shared" ca="1" si="29"/>
        <v>15</v>
      </c>
      <c r="N267" s="8" t="s">
        <v>1251</v>
      </c>
      <c r="O267" s="8" t="s">
        <v>1253</v>
      </c>
      <c r="P267" s="13">
        <f t="shared" ca="1" si="31"/>
        <v>7035.9999999999936</v>
      </c>
      <c r="Q26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2071.9142752166808</v>
      </c>
      <c r="R267" s="8" t="str">
        <f t="shared" ca="1" si="30"/>
        <v>Vigente</v>
      </c>
      <c r="S267" t="str">
        <f ca="1">IF(Tabla1[[#This Row],[En Mora]]="No","",DATEDIF((EDATE(Tabla1[[#This Row],[FechaDesembolso]],Tabla1[[#This Row],[Mes de Mora]])),TODAY(),"d"))</f>
        <v/>
      </c>
    </row>
    <row r="268" spans="1:19" x14ac:dyDescent="0.25">
      <c r="A268" t="s">
        <v>1110</v>
      </c>
      <c r="B268" t="s">
        <v>474</v>
      </c>
      <c r="C268" s="8" t="s">
        <v>37</v>
      </c>
      <c r="D268" s="8" t="str">
        <f>_xlfn.XLOOKUP(B268,Clientes!A:A,Clientes!G:G,"No encontrado",0)</f>
        <v>AG07</v>
      </c>
      <c r="E268" s="9">
        <v>45909</v>
      </c>
      <c r="F268" s="11">
        <v>148527</v>
      </c>
      <c r="G268" s="10">
        <v>0.12807091800743625</v>
      </c>
      <c r="H268" s="10">
        <f t="shared" si="26"/>
        <v>1.0093012778422228E-2</v>
      </c>
      <c r="I268">
        <v>235</v>
      </c>
      <c r="J268" s="12">
        <f t="shared" si="27"/>
        <v>1655.3923748991087</v>
      </c>
      <c r="K268">
        <f t="shared" ca="1" si="28"/>
        <v>11</v>
      </c>
      <c r="L268">
        <f ca="1">MIN(DATEDIF(Tabla1[[#This Row],[FechaDesembolso]],TODAY(),"m"),Tabla1[[#This Row],[Plazos (Meses)]])</f>
        <v>11</v>
      </c>
      <c r="M268">
        <f t="shared" ca="1" si="29"/>
        <v>224</v>
      </c>
      <c r="N268" s="8" t="s">
        <v>1251</v>
      </c>
      <c r="O268" s="8" t="s">
        <v>1253</v>
      </c>
      <c r="P268" s="13">
        <f t="shared" ca="1" si="31"/>
        <v>148527.00000000006</v>
      </c>
      <c r="Q26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11256.988464315727</v>
      </c>
      <c r="R268" s="8" t="str">
        <f t="shared" ca="1" si="30"/>
        <v>Vigente</v>
      </c>
      <c r="S268" t="str">
        <f ca="1">IF(Tabla1[[#This Row],[En Mora]]="No","",DATEDIF((EDATE(Tabla1[[#This Row],[FechaDesembolso]],Tabla1[[#This Row],[Mes de Mora]])),TODAY(),"d"))</f>
        <v/>
      </c>
    </row>
    <row r="269" spans="1:19" x14ac:dyDescent="0.25">
      <c r="A269" t="s">
        <v>1111</v>
      </c>
      <c r="B269" t="s">
        <v>350</v>
      </c>
      <c r="C269" s="8" t="s">
        <v>39</v>
      </c>
      <c r="D269" s="8" t="str">
        <f>_xlfn.XLOOKUP(B269,Clientes!A:A,Clientes!G:G,"No encontrado",0)</f>
        <v>AG03</v>
      </c>
      <c r="E269" s="9">
        <v>45693</v>
      </c>
      <c r="F269" s="11">
        <v>18367</v>
      </c>
      <c r="G269" s="10">
        <v>0.24114288415883595</v>
      </c>
      <c r="H269" s="10">
        <f t="shared" si="26"/>
        <v>1.8165745449261195E-2</v>
      </c>
      <c r="I269">
        <v>6</v>
      </c>
      <c r="J269" s="12">
        <f t="shared" si="27"/>
        <v>3258.715274578612</v>
      </c>
      <c r="K269">
        <f t="shared" ca="1" si="28"/>
        <v>4</v>
      </c>
      <c r="L269">
        <f ca="1">MIN(DATEDIF(Tabla1[[#This Row],[FechaDesembolso]],TODAY(),"m"),Tabla1[[#This Row],[Plazos (Meses)]])</f>
        <v>6</v>
      </c>
      <c r="M269">
        <f t="shared" ca="1" si="29"/>
        <v>2</v>
      </c>
      <c r="N269" s="8" t="s">
        <v>1252</v>
      </c>
      <c r="O269" s="8">
        <v>4</v>
      </c>
      <c r="P269" s="13">
        <f t="shared" ca="1" si="31"/>
        <v>18366.999999999956</v>
      </c>
      <c r="Q26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790.19443164778204</v>
      </c>
      <c r="R269" s="8" t="str">
        <f t="shared" si="30"/>
        <v>En mora</v>
      </c>
      <c r="S269">
        <f ca="1">IF(Tabla1[[#This Row],[En Mora]]="No","",DATEDIF((EDATE(Tabla1[[#This Row],[FechaDesembolso]],Tabla1[[#This Row],[Mes de Mora]])),TODAY(),"d"))</f>
        <v>433</v>
      </c>
    </row>
    <row r="270" spans="1:19" x14ac:dyDescent="0.25">
      <c r="A270" t="s">
        <v>1112</v>
      </c>
      <c r="B270" t="s">
        <v>576</v>
      </c>
      <c r="C270" s="8" t="s">
        <v>37</v>
      </c>
      <c r="D270" s="8" t="str">
        <f>_xlfn.XLOOKUP(B270,Clientes!A:A,Clientes!G:G,"No encontrado",0)</f>
        <v>AG06</v>
      </c>
      <c r="E270" s="9">
        <v>45789</v>
      </c>
      <c r="F270" s="11">
        <v>34070</v>
      </c>
      <c r="G270" s="10">
        <v>0.11054566526912322</v>
      </c>
      <c r="H270" s="10">
        <f t="shared" si="26"/>
        <v>8.7759081969462915E-3</v>
      </c>
      <c r="I270">
        <v>202</v>
      </c>
      <c r="J270" s="12">
        <f t="shared" si="27"/>
        <v>360.75099635025254</v>
      </c>
      <c r="K270">
        <f t="shared" ca="1" si="28"/>
        <v>15</v>
      </c>
      <c r="L270">
        <f ca="1">MIN(DATEDIF(Tabla1[[#This Row],[FechaDesembolso]],TODAY(),"m"),Tabla1[[#This Row],[Plazos (Meses)]])</f>
        <v>15</v>
      </c>
      <c r="M270">
        <f t="shared" ca="1" si="29"/>
        <v>187</v>
      </c>
      <c r="N270" s="8" t="s">
        <v>1251</v>
      </c>
      <c r="O270" s="8" t="s">
        <v>1253</v>
      </c>
      <c r="P270" s="13">
        <f t="shared" ca="1" si="31"/>
        <v>34070.000000000044</v>
      </c>
      <c r="Q27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2881.3144502042828</v>
      </c>
      <c r="R270" s="8" t="str">
        <f t="shared" ca="1" si="30"/>
        <v>Vigente</v>
      </c>
      <c r="S270" t="str">
        <f ca="1">IF(Tabla1[[#This Row],[En Mora]]="No","",DATEDIF((EDATE(Tabla1[[#This Row],[FechaDesembolso]],Tabla1[[#This Row],[Mes de Mora]])),TODAY(),"d"))</f>
        <v/>
      </c>
    </row>
    <row r="271" spans="1:19" x14ac:dyDescent="0.25">
      <c r="A271" t="s">
        <v>1113</v>
      </c>
      <c r="B271" t="s">
        <v>156</v>
      </c>
      <c r="C271" s="8" t="s">
        <v>37</v>
      </c>
      <c r="D271" s="8" t="str">
        <f>_xlfn.XLOOKUP(B271,Clientes!A:A,Clientes!G:G,"No encontrado",0)</f>
        <v>AG05</v>
      </c>
      <c r="E271" s="9">
        <v>45357</v>
      </c>
      <c r="F271" s="11">
        <v>166890</v>
      </c>
      <c r="G271" s="10">
        <v>0.12736222380977122</v>
      </c>
      <c r="H271" s="10">
        <f t="shared" si="26"/>
        <v>1.0040116188137826E-2</v>
      </c>
      <c r="I271">
        <v>68</v>
      </c>
      <c r="J271" s="12">
        <f t="shared" si="27"/>
        <v>3398.4964932563103</v>
      </c>
      <c r="K271">
        <f t="shared" ca="1" si="28"/>
        <v>11</v>
      </c>
      <c r="L271">
        <f ca="1">MIN(DATEDIF(Tabla1[[#This Row],[FechaDesembolso]],TODAY(),"m"),Tabla1[[#This Row],[Plazos (Meses)]])</f>
        <v>29</v>
      </c>
      <c r="M271">
        <f t="shared" ca="1" si="29"/>
        <v>57</v>
      </c>
      <c r="N271" s="8" t="s">
        <v>1252</v>
      </c>
      <c r="O271" s="8">
        <v>11</v>
      </c>
      <c r="P271" s="13">
        <f t="shared" ca="1" si="31"/>
        <v>166889.99999999919</v>
      </c>
      <c r="Q27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10386.54966111353</v>
      </c>
      <c r="R271" s="8" t="str">
        <f t="shared" si="30"/>
        <v>En mora</v>
      </c>
      <c r="S271">
        <f ca="1">IF(Tabla1[[#This Row],[En Mora]]="No","",DATEDIF((EDATE(Tabla1[[#This Row],[FechaDesembolso]],Tabla1[[#This Row],[Mes de Mora]])),TODAY(),"d"))</f>
        <v>552</v>
      </c>
    </row>
    <row r="272" spans="1:19" x14ac:dyDescent="0.25">
      <c r="A272" t="s">
        <v>1114</v>
      </c>
      <c r="B272" t="s">
        <v>413</v>
      </c>
      <c r="C272" s="8" t="s">
        <v>31</v>
      </c>
      <c r="D272" s="8" t="str">
        <f>_xlfn.XLOOKUP(B272,Clientes!A:A,Clientes!G:G,"No encontrado",0)</f>
        <v>AG06</v>
      </c>
      <c r="E272" s="9">
        <v>45947</v>
      </c>
      <c r="F272" s="11">
        <v>3878</v>
      </c>
      <c r="G272" s="10">
        <v>0.35143240972893464</v>
      </c>
      <c r="H272" s="10">
        <f t="shared" si="26"/>
        <v>2.5414672705238006E-2</v>
      </c>
      <c r="I272">
        <v>13</v>
      </c>
      <c r="J272" s="12">
        <f t="shared" si="27"/>
        <v>354.03648940038556</v>
      </c>
      <c r="K272">
        <f t="shared" ca="1" si="28"/>
        <v>9</v>
      </c>
      <c r="L272">
        <f ca="1">MIN(DATEDIF(Tabla1[[#This Row],[FechaDesembolso]],TODAY(),"m"),Tabla1[[#This Row],[Plazos (Meses)]])</f>
        <v>9</v>
      </c>
      <c r="M272">
        <f t="shared" ca="1" si="29"/>
        <v>4</v>
      </c>
      <c r="N272" s="8" t="s">
        <v>1251</v>
      </c>
      <c r="O272" s="8" t="s">
        <v>1253</v>
      </c>
      <c r="P272" s="13">
        <f t="shared" ca="1" si="31"/>
        <v>3878.0000000000064</v>
      </c>
      <c r="Q27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501.55917383423895</v>
      </c>
      <c r="R272" s="8" t="str">
        <f t="shared" ca="1" si="30"/>
        <v>Vigente</v>
      </c>
      <c r="S272" t="str">
        <f ca="1">IF(Tabla1[[#This Row],[En Mora]]="No","",DATEDIF((EDATE(Tabla1[[#This Row],[FechaDesembolso]],Tabla1[[#This Row],[Mes de Mora]])),TODAY(),"d"))</f>
        <v/>
      </c>
    </row>
    <row r="273" spans="1:19" x14ac:dyDescent="0.25">
      <c r="A273" t="s">
        <v>1115</v>
      </c>
      <c r="B273" t="s">
        <v>582</v>
      </c>
      <c r="C273" s="8" t="s">
        <v>37</v>
      </c>
      <c r="D273" s="8" t="str">
        <f>_xlfn.XLOOKUP(B273,Clientes!A:A,Clientes!G:G,"No encontrado",0)</f>
        <v>AG05</v>
      </c>
      <c r="E273" s="9">
        <v>45927</v>
      </c>
      <c r="F273" s="11">
        <v>83958</v>
      </c>
      <c r="G273" s="10">
        <v>0.13296717662828317</v>
      </c>
      <c r="H273" s="10">
        <f t="shared" si="26"/>
        <v>1.0457637104397621E-2</v>
      </c>
      <c r="I273">
        <v>136</v>
      </c>
      <c r="J273" s="12">
        <f t="shared" si="27"/>
        <v>1159.7850893084876</v>
      </c>
      <c r="K273">
        <f t="shared" ca="1" si="28"/>
        <v>6</v>
      </c>
      <c r="L273">
        <f ca="1">MIN(DATEDIF(Tabla1[[#This Row],[FechaDesembolso]],TODAY(),"m"),Tabla1[[#This Row],[Plazos (Meses)]])</f>
        <v>10</v>
      </c>
      <c r="M273">
        <f t="shared" ca="1" si="29"/>
        <v>130</v>
      </c>
      <c r="N273" s="8" t="s">
        <v>1252</v>
      </c>
      <c r="O273" s="8">
        <v>6</v>
      </c>
      <c r="P273" s="13">
        <f t="shared" ca="1" si="31"/>
        <v>83958.000000000073</v>
      </c>
      <c r="Q27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3254.6811240862198</v>
      </c>
      <c r="R273" s="8" t="str">
        <f t="shared" si="30"/>
        <v>En mora</v>
      </c>
      <c r="S273">
        <f ca="1">IF(Tabla1[[#This Row],[En Mora]]="No","",DATEDIF((EDATE(Tabla1[[#This Row],[FechaDesembolso]],Tabla1[[#This Row],[Mes de Mora]])),TODAY(),"d"))</f>
        <v>138</v>
      </c>
    </row>
    <row r="274" spans="1:19" x14ac:dyDescent="0.25">
      <c r="A274" t="s">
        <v>1116</v>
      </c>
      <c r="B274" t="s">
        <v>793</v>
      </c>
      <c r="C274" s="8" t="s">
        <v>37</v>
      </c>
      <c r="D274" s="8" t="str">
        <f>_xlfn.XLOOKUP(B274,Clientes!A:A,Clientes!G:G,"No encontrado",0)</f>
        <v>AG03</v>
      </c>
      <c r="E274" s="9">
        <v>45319</v>
      </c>
      <c r="F274" s="11">
        <v>293557</v>
      </c>
      <c r="G274" s="10">
        <v>0.13807482052687581</v>
      </c>
      <c r="H274" s="10">
        <f t="shared" si="26"/>
        <v>1.0836467167054664E-2</v>
      </c>
      <c r="I274">
        <v>121</v>
      </c>
      <c r="J274" s="12">
        <f t="shared" si="27"/>
        <v>4366.0771513205327</v>
      </c>
      <c r="K274">
        <f t="shared" ca="1" si="28"/>
        <v>30</v>
      </c>
      <c r="L274">
        <f ca="1">MIN(DATEDIF(Tabla1[[#This Row],[FechaDesembolso]],TODAY(),"m"),Tabla1[[#This Row],[Plazos (Meses)]])</f>
        <v>30</v>
      </c>
      <c r="M274">
        <f t="shared" ca="1" si="29"/>
        <v>91</v>
      </c>
      <c r="N274" s="8" t="s">
        <v>1251</v>
      </c>
      <c r="O274" s="8" t="s">
        <v>1253</v>
      </c>
      <c r="P274" s="13">
        <f t="shared" ca="1" si="31"/>
        <v>293557.00000000012</v>
      </c>
      <c r="Q27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58199.587266888724</v>
      </c>
      <c r="R274" s="8" t="str">
        <f t="shared" ca="1" si="30"/>
        <v>Vigente</v>
      </c>
      <c r="S274" t="str">
        <f ca="1">IF(Tabla1[[#This Row],[En Mora]]="No","",DATEDIF((EDATE(Tabla1[[#This Row],[FechaDesembolso]],Tabla1[[#This Row],[Mes de Mora]])),TODAY(),"d"))</f>
        <v/>
      </c>
    </row>
    <row r="275" spans="1:19" x14ac:dyDescent="0.25">
      <c r="A275" t="s">
        <v>1117</v>
      </c>
      <c r="B275" t="s">
        <v>825</v>
      </c>
      <c r="C275" s="8" t="s">
        <v>33</v>
      </c>
      <c r="D275" s="8" t="str">
        <f>_xlfn.XLOOKUP(B275,Clientes!A:A,Clientes!G:G,"No encontrado",0)</f>
        <v>AG06</v>
      </c>
      <c r="E275" s="9">
        <v>45851</v>
      </c>
      <c r="F275" s="11">
        <v>12722</v>
      </c>
      <c r="G275" s="10">
        <v>0.38669368789905445</v>
      </c>
      <c r="H275" s="10">
        <f t="shared" si="26"/>
        <v>2.7618020565881807E-2</v>
      </c>
      <c r="I275">
        <v>41</v>
      </c>
      <c r="J275" s="12">
        <f t="shared" si="27"/>
        <v>522.28078198510127</v>
      </c>
      <c r="K275">
        <f t="shared" ca="1" si="28"/>
        <v>12</v>
      </c>
      <c r="L275">
        <f ca="1">MIN(DATEDIF(Tabla1[[#This Row],[FechaDesembolso]],TODAY(),"m"),Tabla1[[#This Row],[Plazos (Meses)]])</f>
        <v>12</v>
      </c>
      <c r="M275">
        <f t="shared" ca="1" si="29"/>
        <v>29</v>
      </c>
      <c r="N275" s="8" t="s">
        <v>1251</v>
      </c>
      <c r="O275" s="8" t="s">
        <v>1253</v>
      </c>
      <c r="P275" s="13">
        <f t="shared" ca="1" si="31"/>
        <v>12721.999999999982</v>
      </c>
      <c r="Q27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2543.857188699264</v>
      </c>
      <c r="R275" s="8" t="str">
        <f t="shared" ca="1" si="30"/>
        <v>Vigente</v>
      </c>
      <c r="S275" t="str">
        <f ca="1">IF(Tabla1[[#This Row],[En Mora]]="No","",DATEDIF((EDATE(Tabla1[[#This Row],[FechaDesembolso]],Tabla1[[#This Row],[Mes de Mora]])),TODAY(),"d"))</f>
        <v/>
      </c>
    </row>
    <row r="276" spans="1:19" x14ac:dyDescent="0.25">
      <c r="A276" t="s">
        <v>1118</v>
      </c>
      <c r="B276" t="s">
        <v>687</v>
      </c>
      <c r="C276" s="8" t="s">
        <v>39</v>
      </c>
      <c r="D276" s="8" t="str">
        <f>_xlfn.XLOOKUP(B276,Clientes!A:A,Clientes!G:G,"No encontrado",0)</f>
        <v>AG05</v>
      </c>
      <c r="E276" s="9">
        <v>45630</v>
      </c>
      <c r="F276" s="11">
        <v>3937</v>
      </c>
      <c r="G276" s="10">
        <v>0.29924340165894409</v>
      </c>
      <c r="H276" s="10">
        <f t="shared" si="26"/>
        <v>2.205486540824575E-2</v>
      </c>
      <c r="I276">
        <v>12</v>
      </c>
      <c r="J276" s="12">
        <f t="shared" si="27"/>
        <v>376.99515037827643</v>
      </c>
      <c r="K276">
        <f t="shared" ca="1" si="28"/>
        <v>12</v>
      </c>
      <c r="L276">
        <f ca="1">MIN(DATEDIF(Tabla1[[#This Row],[FechaDesembolso]],TODAY(),"m"),Tabla1[[#This Row],[Plazos (Meses)]])</f>
        <v>12</v>
      </c>
      <c r="M276">
        <f t="shared" ca="1" si="29"/>
        <v>0</v>
      </c>
      <c r="N276" s="8" t="s">
        <v>1251</v>
      </c>
      <c r="O276" s="8" t="s">
        <v>1253</v>
      </c>
      <c r="P276" s="13">
        <f t="shared" ca="1" si="31"/>
        <v>0</v>
      </c>
      <c r="Q27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76" s="8" t="str">
        <f t="shared" ca="1" si="30"/>
        <v>Cancelado</v>
      </c>
      <c r="S276" t="str">
        <f ca="1">IF(Tabla1[[#This Row],[En Mora]]="No","",DATEDIF((EDATE(Tabla1[[#This Row],[FechaDesembolso]],Tabla1[[#This Row],[Mes de Mora]])),TODAY(),"d"))</f>
        <v/>
      </c>
    </row>
    <row r="277" spans="1:19" x14ac:dyDescent="0.25">
      <c r="A277" t="s">
        <v>1119</v>
      </c>
      <c r="B277" t="s">
        <v>159</v>
      </c>
      <c r="C277" s="8" t="s">
        <v>33</v>
      </c>
      <c r="D277" s="8" t="str">
        <f>_xlfn.XLOOKUP(B277,Clientes!A:A,Clientes!G:G,"No encontrado",0)</f>
        <v>AG08</v>
      </c>
      <c r="E277" s="9">
        <v>45449</v>
      </c>
      <c r="F277" s="11">
        <v>3730</v>
      </c>
      <c r="G277" s="10">
        <v>0.41540120875293951</v>
      </c>
      <c r="H277" s="10">
        <f t="shared" si="26"/>
        <v>2.937424231705088E-2</v>
      </c>
      <c r="I277">
        <v>7</v>
      </c>
      <c r="J277" s="12">
        <f t="shared" si="27"/>
        <v>597.27757879558567</v>
      </c>
      <c r="K277">
        <f t="shared" ca="1" si="28"/>
        <v>7</v>
      </c>
      <c r="L277">
        <f ca="1">MIN(DATEDIF(Tabla1[[#This Row],[FechaDesembolso]],TODAY(),"m"),Tabla1[[#This Row],[Plazos (Meses)]])</f>
        <v>7</v>
      </c>
      <c r="M277">
        <f t="shared" ca="1" si="29"/>
        <v>0</v>
      </c>
      <c r="N277" s="8" t="s">
        <v>1251</v>
      </c>
      <c r="O277" s="8" t="s">
        <v>1253</v>
      </c>
      <c r="P277" s="13">
        <f t="shared" ca="1" si="31"/>
        <v>0</v>
      </c>
      <c r="Q27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77" s="8" t="str">
        <f t="shared" ca="1" si="30"/>
        <v>Cancelado</v>
      </c>
      <c r="S277" t="str">
        <f ca="1">IF(Tabla1[[#This Row],[En Mora]]="No","",DATEDIF((EDATE(Tabla1[[#This Row],[FechaDesembolso]],Tabla1[[#This Row],[Mes de Mora]])),TODAY(),"d"))</f>
        <v/>
      </c>
    </row>
    <row r="278" spans="1:19" x14ac:dyDescent="0.25">
      <c r="A278" t="s">
        <v>1120</v>
      </c>
      <c r="B278" t="s">
        <v>335</v>
      </c>
      <c r="C278" s="8" t="s">
        <v>31</v>
      </c>
      <c r="D278" s="8" t="str">
        <f>_xlfn.XLOOKUP(B278,Clientes!A:A,Clientes!G:G,"No encontrado",0)</f>
        <v>AG02</v>
      </c>
      <c r="E278" s="9">
        <v>45791</v>
      </c>
      <c r="F278" s="11">
        <v>4040</v>
      </c>
      <c r="G278" s="10">
        <v>0.36539313380507971</v>
      </c>
      <c r="H278" s="10">
        <f t="shared" si="26"/>
        <v>2.6293258706378442E-2</v>
      </c>
      <c r="I278">
        <v>31</v>
      </c>
      <c r="J278" s="12">
        <f t="shared" si="27"/>
        <v>192.18719599167156</v>
      </c>
      <c r="K278">
        <f t="shared" ca="1" si="28"/>
        <v>14</v>
      </c>
      <c r="L278">
        <f ca="1">MIN(DATEDIF(Tabla1[[#This Row],[FechaDesembolso]],TODAY(),"m"),Tabla1[[#This Row],[Plazos (Meses)]])</f>
        <v>14</v>
      </c>
      <c r="M278">
        <f t="shared" ca="1" si="29"/>
        <v>17</v>
      </c>
      <c r="N278" s="8" t="s">
        <v>1251</v>
      </c>
      <c r="O278" s="8" t="s">
        <v>1253</v>
      </c>
      <c r="P278" s="13">
        <f t="shared" ca="1" si="31"/>
        <v>4040.0000000000014</v>
      </c>
      <c r="Q27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866.10461485114365</v>
      </c>
      <c r="R278" s="8" t="str">
        <f t="shared" ca="1" si="30"/>
        <v>Vigente</v>
      </c>
      <c r="S278" t="str">
        <f ca="1">IF(Tabla1[[#This Row],[En Mora]]="No","",DATEDIF((EDATE(Tabla1[[#This Row],[FechaDesembolso]],Tabla1[[#This Row],[Mes de Mora]])),TODAY(),"d"))</f>
        <v/>
      </c>
    </row>
    <row r="279" spans="1:19" x14ac:dyDescent="0.25">
      <c r="A279" t="s">
        <v>1121</v>
      </c>
      <c r="B279" t="s">
        <v>176</v>
      </c>
      <c r="C279" s="8" t="s">
        <v>37</v>
      </c>
      <c r="D279" s="8" t="str">
        <f>_xlfn.XLOOKUP(B279,Clientes!A:A,Clientes!G:G,"No encontrado",0)</f>
        <v>AG01</v>
      </c>
      <c r="E279" s="9">
        <v>44875</v>
      </c>
      <c r="F279" s="11">
        <v>168592</v>
      </c>
      <c r="G279" s="10">
        <v>0.11380593907678868</v>
      </c>
      <c r="H279" s="10">
        <f t="shared" si="26"/>
        <v>9.0223687661357133E-3</v>
      </c>
      <c r="I279">
        <v>222</v>
      </c>
      <c r="J279" s="12">
        <f t="shared" si="27"/>
        <v>1760.8410503179182</v>
      </c>
      <c r="K279">
        <f t="shared" ca="1" si="28"/>
        <v>45</v>
      </c>
      <c r="L279">
        <f ca="1">MIN(DATEDIF(Tabla1[[#This Row],[FechaDesembolso]],TODAY(),"m"),Tabla1[[#This Row],[Plazos (Meses)]])</f>
        <v>45</v>
      </c>
      <c r="M279">
        <f t="shared" ca="1" si="29"/>
        <v>177</v>
      </c>
      <c r="N279" s="8" t="s">
        <v>1251</v>
      </c>
      <c r="O279" s="8" t="s">
        <v>1253</v>
      </c>
      <c r="P279" s="13">
        <f t="shared" ca="1" si="31"/>
        <v>168592.00000000003</v>
      </c>
      <c r="Q27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45063.793210252268</v>
      </c>
      <c r="R279" s="8" t="str">
        <f t="shared" ca="1" si="30"/>
        <v>Vigente</v>
      </c>
      <c r="S279" t="str">
        <f ca="1">IF(Tabla1[[#This Row],[En Mora]]="No","",DATEDIF((EDATE(Tabla1[[#This Row],[FechaDesembolso]],Tabla1[[#This Row],[Mes de Mora]])),TODAY(),"d"))</f>
        <v/>
      </c>
    </row>
    <row r="280" spans="1:19" x14ac:dyDescent="0.25">
      <c r="A280" t="s">
        <v>1122</v>
      </c>
      <c r="B280" t="s">
        <v>213</v>
      </c>
      <c r="C280" s="8" t="s">
        <v>31</v>
      </c>
      <c r="D280" s="8" t="str">
        <f>_xlfn.XLOOKUP(B280,Clientes!A:A,Clientes!G:G,"No encontrado",0)</f>
        <v>AG04</v>
      </c>
      <c r="E280" s="9">
        <v>45522</v>
      </c>
      <c r="F280" s="11">
        <v>12786</v>
      </c>
      <c r="G280" s="10">
        <v>0.48669024823893242</v>
      </c>
      <c r="H280" s="10">
        <f t="shared" si="26"/>
        <v>3.3598112883075792E-2</v>
      </c>
      <c r="I280">
        <v>27</v>
      </c>
      <c r="J280" s="12">
        <f t="shared" si="27"/>
        <v>727.78504534327442</v>
      </c>
      <c r="K280">
        <f t="shared" ca="1" si="28"/>
        <v>23</v>
      </c>
      <c r="L280">
        <f ca="1">MIN(DATEDIF(Tabla1[[#This Row],[FechaDesembolso]],TODAY(),"m"),Tabla1[[#This Row],[Plazos (Meses)]])</f>
        <v>23</v>
      </c>
      <c r="M280">
        <f t="shared" ca="1" si="29"/>
        <v>4</v>
      </c>
      <c r="N280" s="8" t="s">
        <v>1251</v>
      </c>
      <c r="O280" s="8" t="s">
        <v>1253</v>
      </c>
      <c r="P280" s="13">
        <f t="shared" ca="1" si="31"/>
        <v>12786.000000000009</v>
      </c>
      <c r="Q28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5847.2782651175339</v>
      </c>
      <c r="R280" s="8" t="str">
        <f t="shared" ca="1" si="30"/>
        <v>Vigente</v>
      </c>
      <c r="S280" t="str">
        <f ca="1">IF(Tabla1[[#This Row],[En Mora]]="No","",DATEDIF((EDATE(Tabla1[[#This Row],[FechaDesembolso]],Tabla1[[#This Row],[Mes de Mora]])),TODAY(),"d"))</f>
        <v/>
      </c>
    </row>
    <row r="281" spans="1:19" x14ac:dyDescent="0.25">
      <c r="A281" t="s">
        <v>1123</v>
      </c>
      <c r="B281" t="s">
        <v>645</v>
      </c>
      <c r="C281" s="8" t="s">
        <v>33</v>
      </c>
      <c r="D281" s="8" t="str">
        <f>_xlfn.XLOOKUP(B281,Clientes!A:A,Clientes!G:G,"No encontrado",0)</f>
        <v>AG08</v>
      </c>
      <c r="E281" s="9">
        <v>46149</v>
      </c>
      <c r="F281" s="11">
        <v>40247</v>
      </c>
      <c r="G281" s="10">
        <v>0.32218727841644751</v>
      </c>
      <c r="H281" s="10">
        <f t="shared" si="26"/>
        <v>2.3546901334132064E-2</v>
      </c>
      <c r="I281">
        <v>29</v>
      </c>
      <c r="J281" s="12">
        <f t="shared" si="27"/>
        <v>1930.8527318417996</v>
      </c>
      <c r="K281">
        <f t="shared" ca="1" si="28"/>
        <v>3</v>
      </c>
      <c r="L281">
        <f ca="1">MIN(DATEDIF(Tabla1[[#This Row],[FechaDesembolso]],TODAY(),"m"),Tabla1[[#This Row],[Plazos (Meses)]])</f>
        <v>3</v>
      </c>
      <c r="M281">
        <f t="shared" ca="1" si="29"/>
        <v>26</v>
      </c>
      <c r="N281" s="8" t="s">
        <v>1251</v>
      </c>
      <c r="O281" s="8" t="s">
        <v>1253</v>
      </c>
      <c r="P281" s="13">
        <f t="shared" ca="1" si="31"/>
        <v>40246.999999999993</v>
      </c>
      <c r="Q28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1629.0754369047088</v>
      </c>
      <c r="R281" s="8" t="str">
        <f t="shared" ca="1" si="30"/>
        <v>Vigente</v>
      </c>
      <c r="S281" t="str">
        <f ca="1">IF(Tabla1[[#This Row],[En Mora]]="No","",DATEDIF((EDATE(Tabla1[[#This Row],[FechaDesembolso]],Tabla1[[#This Row],[Mes de Mora]])),TODAY(),"d"))</f>
        <v/>
      </c>
    </row>
    <row r="282" spans="1:19" x14ac:dyDescent="0.25">
      <c r="A282" t="s">
        <v>1124</v>
      </c>
      <c r="B282" t="s">
        <v>828</v>
      </c>
      <c r="C282" s="8" t="s">
        <v>37</v>
      </c>
      <c r="D282" s="8" t="str">
        <f>_xlfn.XLOOKUP(B282,Clientes!A:A,Clientes!G:G,"No encontrado",0)</f>
        <v>AG07</v>
      </c>
      <c r="E282" s="9">
        <v>45353</v>
      </c>
      <c r="F282" s="11">
        <v>205080</v>
      </c>
      <c r="G282" s="10">
        <v>9.012006117942177E-2</v>
      </c>
      <c r="H282" s="10">
        <f t="shared" si="26"/>
        <v>7.2165679946292194E-3</v>
      </c>
      <c r="I282">
        <v>62</v>
      </c>
      <c r="J282" s="12">
        <f t="shared" si="27"/>
        <v>4114.4520586642448</v>
      </c>
      <c r="K282">
        <f t="shared" ca="1" si="28"/>
        <v>29</v>
      </c>
      <c r="L282">
        <f ca="1">MIN(DATEDIF(Tabla1[[#This Row],[FechaDesembolso]],TODAY(),"m"),Tabla1[[#This Row],[Plazos (Meses)]])</f>
        <v>29</v>
      </c>
      <c r="M282">
        <f t="shared" ca="1" si="29"/>
        <v>33</v>
      </c>
      <c r="N282" s="8" t="s">
        <v>1251</v>
      </c>
      <c r="O282" s="8" t="s">
        <v>1253</v>
      </c>
      <c r="P282" s="13">
        <f t="shared" ca="1" si="31"/>
        <v>205080.00000000041</v>
      </c>
      <c r="Q28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23394.593572230839</v>
      </c>
      <c r="R282" s="8" t="str">
        <f t="shared" ca="1" si="30"/>
        <v>Vigente</v>
      </c>
      <c r="S282" t="str">
        <f ca="1">IF(Tabla1[[#This Row],[En Mora]]="No","",DATEDIF((EDATE(Tabla1[[#This Row],[FechaDesembolso]],Tabla1[[#This Row],[Mes de Mora]])),TODAY(),"d"))</f>
        <v/>
      </c>
    </row>
    <row r="283" spans="1:19" x14ac:dyDescent="0.25">
      <c r="A283" t="s">
        <v>1125</v>
      </c>
      <c r="B283" t="s">
        <v>588</v>
      </c>
      <c r="C283" s="8" t="s">
        <v>35</v>
      </c>
      <c r="D283" s="8" t="str">
        <f>_xlfn.XLOOKUP(B283,Clientes!A:A,Clientes!G:G,"No encontrado",0)</f>
        <v>AG08</v>
      </c>
      <c r="E283" s="9">
        <v>45743</v>
      </c>
      <c r="F283" s="11">
        <v>60333</v>
      </c>
      <c r="G283" s="10">
        <v>0.2922839448661293</v>
      </c>
      <c r="H283" s="10">
        <f t="shared" si="26"/>
        <v>2.1597517851128512E-2</v>
      </c>
      <c r="I283">
        <v>47</v>
      </c>
      <c r="J283" s="12">
        <f t="shared" si="27"/>
        <v>2056.2763494063875</v>
      </c>
      <c r="K283">
        <f t="shared" ca="1" si="28"/>
        <v>16</v>
      </c>
      <c r="L283">
        <f ca="1">MIN(DATEDIF(Tabla1[[#This Row],[FechaDesembolso]],TODAY(),"m"),Tabla1[[#This Row],[Plazos (Meses)]])</f>
        <v>16</v>
      </c>
      <c r="M283">
        <f t="shared" ca="1" si="29"/>
        <v>31</v>
      </c>
      <c r="N283" s="8" t="s">
        <v>1251</v>
      </c>
      <c r="O283" s="8" t="s">
        <v>1253</v>
      </c>
      <c r="P283" s="13">
        <f t="shared" ca="1" si="31"/>
        <v>60332.999999999898</v>
      </c>
      <c r="Q28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12361.527973480923</v>
      </c>
      <c r="R283" s="8" t="str">
        <f t="shared" ca="1" si="30"/>
        <v>Vigente</v>
      </c>
      <c r="S283" t="str">
        <f ca="1">IF(Tabla1[[#This Row],[En Mora]]="No","",DATEDIF((EDATE(Tabla1[[#This Row],[FechaDesembolso]],Tabla1[[#This Row],[Mes de Mora]])),TODAY(),"d"))</f>
        <v/>
      </c>
    </row>
    <row r="284" spans="1:19" x14ac:dyDescent="0.25">
      <c r="A284" t="s">
        <v>1126</v>
      </c>
      <c r="B284" t="s">
        <v>690</v>
      </c>
      <c r="C284" s="8" t="s">
        <v>31</v>
      </c>
      <c r="D284" s="8" t="str">
        <f>_xlfn.XLOOKUP(B284,Clientes!A:A,Clientes!G:G,"No encontrado",0)</f>
        <v>AG05</v>
      </c>
      <c r="E284" s="9">
        <v>44621</v>
      </c>
      <c r="F284" s="11">
        <v>9131</v>
      </c>
      <c r="G284" s="10">
        <v>0.5214207033621916</v>
      </c>
      <c r="H284" s="10">
        <f t="shared" si="26"/>
        <v>3.5589035198151375E-2</v>
      </c>
      <c r="I284">
        <v>31</v>
      </c>
      <c r="J284" s="12">
        <f t="shared" si="27"/>
        <v>491.03877970454641</v>
      </c>
      <c r="K284">
        <f t="shared" ca="1" si="28"/>
        <v>31</v>
      </c>
      <c r="L284">
        <f ca="1">MIN(DATEDIF(Tabla1[[#This Row],[FechaDesembolso]],TODAY(),"m"),Tabla1[[#This Row],[Plazos (Meses)]])</f>
        <v>31</v>
      </c>
      <c r="M284">
        <f t="shared" ca="1" si="29"/>
        <v>0</v>
      </c>
      <c r="N284" s="8" t="s">
        <v>1251</v>
      </c>
      <c r="O284" s="8" t="s">
        <v>1253</v>
      </c>
      <c r="P284" s="13">
        <f t="shared" ca="1" si="31"/>
        <v>0</v>
      </c>
      <c r="Q28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84" s="8" t="str">
        <f t="shared" ca="1" si="30"/>
        <v>Cancelado</v>
      </c>
      <c r="S284" t="str">
        <f ca="1">IF(Tabla1[[#This Row],[En Mora]]="No","",DATEDIF((EDATE(Tabla1[[#This Row],[FechaDesembolso]],Tabla1[[#This Row],[Mes de Mora]])),TODAY(),"d"))</f>
        <v/>
      </c>
    </row>
    <row r="285" spans="1:19" x14ac:dyDescent="0.25">
      <c r="A285" t="s">
        <v>1127</v>
      </c>
      <c r="B285" t="s">
        <v>708</v>
      </c>
      <c r="C285" s="8" t="s">
        <v>31</v>
      </c>
      <c r="D285" s="8" t="str">
        <f>_xlfn.XLOOKUP(B285,Clientes!A:A,Clientes!G:G,"No encontrado",0)</f>
        <v>AG05</v>
      </c>
      <c r="E285" s="9">
        <v>46168</v>
      </c>
      <c r="F285" s="11">
        <v>9548</v>
      </c>
      <c r="G285" s="10">
        <v>0.39803736907622156</v>
      </c>
      <c r="H285" s="10">
        <f t="shared" si="26"/>
        <v>2.8315933186499276E-2</v>
      </c>
      <c r="I285">
        <v>7</v>
      </c>
      <c r="J285" s="12">
        <f t="shared" si="27"/>
        <v>1522.8027185733613</v>
      </c>
      <c r="K285">
        <f t="shared" ca="1" si="28"/>
        <v>2</v>
      </c>
      <c r="L285">
        <f ca="1">MIN(DATEDIF(Tabla1[[#This Row],[FechaDesembolso]],TODAY(),"m"),Tabla1[[#This Row],[Plazos (Meses)]])</f>
        <v>2</v>
      </c>
      <c r="M285">
        <f t="shared" ca="1" si="29"/>
        <v>5</v>
      </c>
      <c r="N285" s="8" t="s">
        <v>1251</v>
      </c>
      <c r="O285" s="8" t="s">
        <v>1253</v>
      </c>
      <c r="P285" s="13">
        <f t="shared" ca="1" si="31"/>
        <v>9548.0000000000018</v>
      </c>
      <c r="Q28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317.60543714672269</v>
      </c>
      <c r="R285" s="8" t="str">
        <f t="shared" ca="1" si="30"/>
        <v>Vigente</v>
      </c>
      <c r="S285" t="str">
        <f ca="1">IF(Tabla1[[#This Row],[En Mora]]="No","",DATEDIF((EDATE(Tabla1[[#This Row],[FechaDesembolso]],Tabla1[[#This Row],[Mes de Mora]])),TODAY(),"d"))</f>
        <v/>
      </c>
    </row>
    <row r="286" spans="1:19" x14ac:dyDescent="0.25">
      <c r="A286" t="s">
        <v>1128</v>
      </c>
      <c r="B286" t="s">
        <v>347</v>
      </c>
      <c r="C286" s="8" t="s">
        <v>33</v>
      </c>
      <c r="D286" s="8" t="str">
        <f>_xlfn.XLOOKUP(B286,Clientes!A:A,Clientes!G:G,"No encontrado",0)</f>
        <v>AG04</v>
      </c>
      <c r="E286" s="9">
        <v>45429</v>
      </c>
      <c r="F286" s="11">
        <v>22613</v>
      </c>
      <c r="G286" s="10">
        <v>0.37188630012450669</v>
      </c>
      <c r="H286" s="10">
        <f t="shared" si="26"/>
        <v>2.6699088835545393E-2</v>
      </c>
      <c r="I286">
        <v>34</v>
      </c>
      <c r="J286" s="12">
        <f t="shared" si="27"/>
        <v>1020.2823164655556</v>
      </c>
      <c r="K286">
        <f t="shared" ca="1" si="28"/>
        <v>26</v>
      </c>
      <c r="L286">
        <f ca="1">MIN(DATEDIF(Tabla1[[#This Row],[FechaDesembolso]],TODAY(),"m"),Tabla1[[#This Row],[Plazos (Meses)]])</f>
        <v>26</v>
      </c>
      <c r="M286">
        <f t="shared" ca="1" si="29"/>
        <v>8</v>
      </c>
      <c r="N286" s="8" t="s">
        <v>1251</v>
      </c>
      <c r="O286" s="8" t="s">
        <v>1253</v>
      </c>
      <c r="P286" s="13">
        <f t="shared" ca="1" si="31"/>
        <v>22613.000000000025</v>
      </c>
      <c r="Q28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9235.0461104573878</v>
      </c>
      <c r="R286" s="8" t="str">
        <f t="shared" ca="1" si="30"/>
        <v>Vigente</v>
      </c>
      <c r="S286" t="str">
        <f ca="1">IF(Tabla1[[#This Row],[En Mora]]="No","",DATEDIF((EDATE(Tabla1[[#This Row],[FechaDesembolso]],Tabla1[[#This Row],[Mes de Mora]])),TODAY(),"d"))</f>
        <v/>
      </c>
    </row>
    <row r="287" spans="1:19" x14ac:dyDescent="0.25">
      <c r="A287" t="s">
        <v>1129</v>
      </c>
      <c r="B287" t="s">
        <v>555</v>
      </c>
      <c r="C287" s="8" t="s">
        <v>37</v>
      </c>
      <c r="D287" s="8" t="str">
        <f>_xlfn.XLOOKUP(B287,Clientes!A:A,Clientes!G:G,"No encontrado",0)</f>
        <v>AG05</v>
      </c>
      <c r="E287" s="9">
        <v>45468</v>
      </c>
      <c r="F287" s="11">
        <v>198402</v>
      </c>
      <c r="G287" s="10">
        <v>0.12939125867859005</v>
      </c>
      <c r="H287" s="10">
        <f t="shared" si="26"/>
        <v>1.0191481171907935E-2</v>
      </c>
      <c r="I287">
        <v>185</v>
      </c>
      <c r="J287" s="12">
        <f t="shared" si="27"/>
        <v>2387.881145769195</v>
      </c>
      <c r="K287">
        <f t="shared" ca="1" si="28"/>
        <v>25</v>
      </c>
      <c r="L287">
        <f ca="1">MIN(DATEDIF(Tabla1[[#This Row],[FechaDesembolso]],TODAY(),"m"),Tabla1[[#This Row],[Plazos (Meses)]])</f>
        <v>25</v>
      </c>
      <c r="M287">
        <f t="shared" ca="1" si="29"/>
        <v>160</v>
      </c>
      <c r="N287" s="8" t="s">
        <v>1251</v>
      </c>
      <c r="O287" s="8" t="s">
        <v>1253</v>
      </c>
      <c r="P287" s="13">
        <f t="shared" ca="1" si="31"/>
        <v>198402.0000000002</v>
      </c>
      <c r="Q28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32885.947563148795</v>
      </c>
      <c r="R287" s="8" t="str">
        <f t="shared" ca="1" si="30"/>
        <v>Vigente</v>
      </c>
      <c r="S287" t="str">
        <f ca="1">IF(Tabla1[[#This Row],[En Mora]]="No","",DATEDIF((EDATE(Tabla1[[#This Row],[FechaDesembolso]],Tabla1[[#This Row],[Mes de Mora]])),TODAY(),"d"))</f>
        <v/>
      </c>
    </row>
    <row r="288" spans="1:19" x14ac:dyDescent="0.25">
      <c r="A288" t="s">
        <v>1130</v>
      </c>
      <c r="B288" t="s">
        <v>660</v>
      </c>
      <c r="C288" s="8" t="s">
        <v>33</v>
      </c>
      <c r="D288" s="8" t="str">
        <f>_xlfn.XLOOKUP(B288,Clientes!A:A,Clientes!G:G,"No encontrado",0)</f>
        <v>AG03</v>
      </c>
      <c r="E288" s="9">
        <v>46162</v>
      </c>
      <c r="F288" s="11">
        <v>32500</v>
      </c>
      <c r="G288" s="10">
        <v>0.39178784620532536</v>
      </c>
      <c r="H288" s="10">
        <f t="shared" si="26"/>
        <v>2.7932080276290128E-2</v>
      </c>
      <c r="I288">
        <v>21</v>
      </c>
      <c r="J288" s="12">
        <f t="shared" si="27"/>
        <v>2066.5535272855573</v>
      </c>
      <c r="K288">
        <f t="shared" ca="1" si="28"/>
        <v>2</v>
      </c>
      <c r="L288">
        <f ca="1">MIN(DATEDIF(Tabla1[[#This Row],[FechaDesembolso]],TODAY(),"m"),Tabla1[[#This Row],[Plazos (Meses)]])</f>
        <v>2</v>
      </c>
      <c r="M288">
        <f t="shared" ca="1" si="29"/>
        <v>19</v>
      </c>
      <c r="N288" s="8" t="s">
        <v>1251</v>
      </c>
      <c r="O288" s="8" t="s">
        <v>1253</v>
      </c>
      <c r="P288" s="13">
        <f t="shared" ca="1" si="31"/>
        <v>32500.000000000018</v>
      </c>
      <c r="Q28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1037.8689593330193</v>
      </c>
      <c r="R288" s="8" t="str">
        <f t="shared" ca="1" si="30"/>
        <v>Vigente</v>
      </c>
      <c r="S288" t="str">
        <f ca="1">IF(Tabla1[[#This Row],[En Mora]]="No","",DATEDIF((EDATE(Tabla1[[#This Row],[FechaDesembolso]],Tabla1[[#This Row],[Mes de Mora]])),TODAY(),"d"))</f>
        <v/>
      </c>
    </row>
    <row r="289" spans="1:19" x14ac:dyDescent="0.25">
      <c r="A289" t="s">
        <v>1131</v>
      </c>
      <c r="B289" t="s">
        <v>210</v>
      </c>
      <c r="C289" s="8" t="s">
        <v>33</v>
      </c>
      <c r="D289" s="8" t="str">
        <f>_xlfn.XLOOKUP(B289,Clientes!A:A,Clientes!G:G,"No encontrado",0)</f>
        <v>AG05</v>
      </c>
      <c r="E289" s="9">
        <v>44970</v>
      </c>
      <c r="F289" s="11">
        <v>25285</v>
      </c>
      <c r="G289" s="10">
        <v>0.39243441277705315</v>
      </c>
      <c r="H289" s="10">
        <f t="shared" si="26"/>
        <v>2.7971866335814388E-2</v>
      </c>
      <c r="I289">
        <v>13</v>
      </c>
      <c r="J289" s="12">
        <f t="shared" si="27"/>
        <v>2346.8046932314419</v>
      </c>
      <c r="K289">
        <f t="shared" ca="1" si="28"/>
        <v>13</v>
      </c>
      <c r="L289">
        <f ca="1">MIN(DATEDIF(Tabla1[[#This Row],[FechaDesembolso]],TODAY(),"m"),Tabla1[[#This Row],[Plazos (Meses)]])</f>
        <v>13</v>
      </c>
      <c r="M289">
        <f t="shared" ca="1" si="29"/>
        <v>0</v>
      </c>
      <c r="N289" s="8" t="s">
        <v>1251</v>
      </c>
      <c r="O289" s="8" t="s">
        <v>1253</v>
      </c>
      <c r="P289" s="13">
        <f t="shared" ca="1" si="31"/>
        <v>0</v>
      </c>
      <c r="Q28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89" s="8" t="str">
        <f t="shared" ca="1" si="30"/>
        <v>Cancelado</v>
      </c>
      <c r="S289" t="str">
        <f ca="1">IF(Tabla1[[#This Row],[En Mora]]="No","",DATEDIF((EDATE(Tabla1[[#This Row],[FechaDesembolso]],Tabla1[[#This Row],[Mes de Mora]])),TODAY(),"d"))</f>
        <v/>
      </c>
    </row>
    <row r="290" spans="1:19" x14ac:dyDescent="0.25">
      <c r="A290" t="s">
        <v>1132</v>
      </c>
      <c r="B290" t="s">
        <v>314</v>
      </c>
      <c r="C290" s="8" t="s">
        <v>37</v>
      </c>
      <c r="D290" s="8" t="str">
        <f>_xlfn.XLOOKUP(B290,Clientes!A:A,Clientes!G:G,"No encontrado",0)</f>
        <v>AG03</v>
      </c>
      <c r="E290" s="9">
        <v>46177</v>
      </c>
      <c r="F290" s="11">
        <v>203394</v>
      </c>
      <c r="G290" s="10">
        <v>0.13075749501503486</v>
      </c>
      <c r="H290" s="10">
        <f t="shared" si="26"/>
        <v>1.0293261346105309E-2</v>
      </c>
      <c r="I290">
        <v>114</v>
      </c>
      <c r="J290" s="12">
        <f t="shared" si="27"/>
        <v>3039.3141392865609</v>
      </c>
      <c r="K290">
        <f t="shared" ca="1" si="28"/>
        <v>2</v>
      </c>
      <c r="L290">
        <f ca="1">MIN(DATEDIF(Tabla1[[#This Row],[FechaDesembolso]],TODAY(),"m"),Tabla1[[#This Row],[Plazos (Meses)]])</f>
        <v>2</v>
      </c>
      <c r="M290">
        <f t="shared" ca="1" si="29"/>
        <v>112</v>
      </c>
      <c r="N290" s="8" t="s">
        <v>1251</v>
      </c>
      <c r="O290" s="8" t="s">
        <v>1253</v>
      </c>
      <c r="P290" s="13">
        <f t="shared" ca="1" si="31"/>
        <v>203394.00000000009</v>
      </c>
      <c r="Q29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2510.3124890994382</v>
      </c>
      <c r="R290" s="8" t="str">
        <f t="shared" ca="1" si="30"/>
        <v>Vigente</v>
      </c>
      <c r="S290" t="str">
        <f ca="1">IF(Tabla1[[#This Row],[En Mora]]="No","",DATEDIF((EDATE(Tabla1[[#This Row],[FechaDesembolso]],Tabla1[[#This Row],[Mes de Mora]])),TODAY(),"d"))</f>
        <v/>
      </c>
    </row>
    <row r="291" spans="1:19" x14ac:dyDescent="0.25">
      <c r="A291" t="s">
        <v>1133</v>
      </c>
      <c r="B291" t="s">
        <v>837</v>
      </c>
      <c r="C291" s="8" t="s">
        <v>31</v>
      </c>
      <c r="D291" s="8" t="str">
        <f>_xlfn.XLOOKUP(B291,Clientes!A:A,Clientes!G:G,"No encontrado",0)</f>
        <v>AG06</v>
      </c>
      <c r="E291" s="9">
        <v>45273</v>
      </c>
      <c r="F291" s="11">
        <v>13595</v>
      </c>
      <c r="G291" s="10">
        <v>0.49505016413024738</v>
      </c>
      <c r="H291" s="10">
        <f t="shared" si="26"/>
        <v>3.4081210778482474E-2</v>
      </c>
      <c r="I291">
        <v>10</v>
      </c>
      <c r="J291" s="12">
        <f t="shared" si="27"/>
        <v>1627.1200622498493</v>
      </c>
      <c r="K291">
        <f t="shared" ca="1" si="28"/>
        <v>10</v>
      </c>
      <c r="L291">
        <f ca="1">MIN(DATEDIF(Tabla1[[#This Row],[FechaDesembolso]],TODAY(),"m"),Tabla1[[#This Row],[Plazos (Meses)]])</f>
        <v>10</v>
      </c>
      <c r="M291">
        <f t="shared" ca="1" si="29"/>
        <v>0</v>
      </c>
      <c r="N291" s="8" t="s">
        <v>1251</v>
      </c>
      <c r="O291" s="8" t="s">
        <v>1253</v>
      </c>
      <c r="P291" s="13">
        <f t="shared" ca="1" si="31"/>
        <v>0</v>
      </c>
      <c r="Q29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91" s="8" t="str">
        <f t="shared" ca="1" si="30"/>
        <v>Cancelado</v>
      </c>
      <c r="S291" t="str">
        <f ca="1">IF(Tabla1[[#This Row],[En Mora]]="No","",DATEDIF((EDATE(Tabla1[[#This Row],[FechaDesembolso]],Tabla1[[#This Row],[Mes de Mora]])),TODAY(),"d"))</f>
        <v/>
      </c>
    </row>
    <row r="292" spans="1:19" x14ac:dyDescent="0.25">
      <c r="A292" t="s">
        <v>1134</v>
      </c>
      <c r="B292" t="s">
        <v>294</v>
      </c>
      <c r="C292" s="8" t="s">
        <v>31</v>
      </c>
      <c r="D292" s="8" t="str">
        <f>_xlfn.XLOOKUP(B292,Clientes!A:A,Clientes!G:G,"No encontrado",0)</f>
        <v>AG01</v>
      </c>
      <c r="E292" s="9">
        <v>45673</v>
      </c>
      <c r="F292" s="11">
        <v>7722</v>
      </c>
      <c r="G292" s="10">
        <v>0.50675850109097176</v>
      </c>
      <c r="H292" s="10">
        <f t="shared" si="26"/>
        <v>3.4753659193722974E-2</v>
      </c>
      <c r="I292">
        <v>10</v>
      </c>
      <c r="J292" s="12">
        <f t="shared" si="27"/>
        <v>927.35133672328243</v>
      </c>
      <c r="K292">
        <f t="shared" ca="1" si="28"/>
        <v>10</v>
      </c>
      <c r="L292">
        <f ca="1">MIN(DATEDIF(Tabla1[[#This Row],[FechaDesembolso]],TODAY(),"m"),Tabla1[[#This Row],[Plazos (Meses)]])</f>
        <v>10</v>
      </c>
      <c r="M292">
        <f t="shared" ca="1" si="29"/>
        <v>0</v>
      </c>
      <c r="N292" s="8" t="s">
        <v>1251</v>
      </c>
      <c r="O292" s="8" t="s">
        <v>1253</v>
      </c>
      <c r="P292" s="13">
        <f t="shared" ca="1" si="31"/>
        <v>0</v>
      </c>
      <c r="Q29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292" s="8" t="str">
        <f t="shared" ca="1" si="30"/>
        <v>Cancelado</v>
      </c>
      <c r="S292" t="str">
        <f ca="1">IF(Tabla1[[#This Row],[En Mora]]="No","",DATEDIF((EDATE(Tabla1[[#This Row],[FechaDesembolso]],Tabla1[[#This Row],[Mes de Mora]])),TODAY(),"d"))</f>
        <v/>
      </c>
    </row>
    <row r="293" spans="1:19" x14ac:dyDescent="0.25">
      <c r="A293" t="s">
        <v>1135</v>
      </c>
      <c r="B293" t="s">
        <v>507</v>
      </c>
      <c r="C293" s="8" t="s">
        <v>35</v>
      </c>
      <c r="D293" s="8" t="str">
        <f>_xlfn.XLOOKUP(B293,Clientes!A:A,Clientes!G:G,"No encontrado",0)</f>
        <v>AG07</v>
      </c>
      <c r="E293" s="9">
        <v>46062</v>
      </c>
      <c r="F293" s="11">
        <v>25924</v>
      </c>
      <c r="G293" s="10">
        <v>0.22330168597453673</v>
      </c>
      <c r="H293" s="10">
        <f t="shared" si="26"/>
        <v>1.6937973238700277E-2</v>
      </c>
      <c r="I293">
        <v>39</v>
      </c>
      <c r="J293" s="12">
        <f t="shared" si="27"/>
        <v>913.68133424925554</v>
      </c>
      <c r="K293">
        <f t="shared" ca="1" si="28"/>
        <v>6</v>
      </c>
      <c r="L293">
        <f ca="1">MIN(DATEDIF(Tabla1[[#This Row],[FechaDesembolso]],TODAY(),"m"),Tabla1[[#This Row],[Plazos (Meses)]])</f>
        <v>6</v>
      </c>
      <c r="M293">
        <f t="shared" ca="1" si="29"/>
        <v>33</v>
      </c>
      <c r="N293" s="8" t="s">
        <v>1251</v>
      </c>
      <c r="O293" s="8" t="s">
        <v>1253</v>
      </c>
      <c r="P293" s="13">
        <f t="shared" ca="1" si="31"/>
        <v>25923.999999999935</v>
      </c>
      <c r="Q29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1493.7803131878409</v>
      </c>
      <c r="R293" s="8" t="str">
        <f t="shared" ca="1" si="30"/>
        <v>Vigente</v>
      </c>
      <c r="S293" t="str">
        <f ca="1">IF(Tabla1[[#This Row],[En Mora]]="No","",DATEDIF((EDATE(Tabla1[[#This Row],[FechaDesembolso]],Tabla1[[#This Row],[Mes de Mora]])),TODAY(),"d"))</f>
        <v/>
      </c>
    </row>
    <row r="294" spans="1:19" x14ac:dyDescent="0.25">
      <c r="A294" t="s">
        <v>1136</v>
      </c>
      <c r="B294" t="s">
        <v>807</v>
      </c>
      <c r="C294" s="8" t="s">
        <v>35</v>
      </c>
      <c r="D294" s="8" t="str">
        <f>_xlfn.XLOOKUP(B294,Clientes!A:A,Clientes!G:G,"No encontrado",0)</f>
        <v>AG08</v>
      </c>
      <c r="E294" s="9">
        <v>45620</v>
      </c>
      <c r="F294" s="11">
        <v>61525</v>
      </c>
      <c r="G294" s="10">
        <v>0.30875036305625081</v>
      </c>
      <c r="H294" s="10">
        <f t="shared" si="26"/>
        <v>2.2676008988073981E-2</v>
      </c>
      <c r="I294">
        <v>43</v>
      </c>
      <c r="J294" s="12">
        <f t="shared" si="27"/>
        <v>2254.9443604243884</v>
      </c>
      <c r="K294">
        <f t="shared" ca="1" si="28"/>
        <v>20</v>
      </c>
      <c r="L294">
        <f ca="1">MIN(DATEDIF(Tabla1[[#This Row],[FechaDesembolso]],TODAY(),"m"),Tabla1[[#This Row],[Plazos (Meses)]])</f>
        <v>20</v>
      </c>
      <c r="M294">
        <f t="shared" ca="1" si="29"/>
        <v>23</v>
      </c>
      <c r="N294" s="8" t="s">
        <v>1251</v>
      </c>
      <c r="O294" s="8" t="s">
        <v>1253</v>
      </c>
      <c r="P294" s="13">
        <f t="shared" ca="1" si="31"/>
        <v>61525.000000000007</v>
      </c>
      <c r="Q29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16482.608138720327</v>
      </c>
      <c r="R294" s="8" t="str">
        <f t="shared" ca="1" si="30"/>
        <v>Vigente</v>
      </c>
      <c r="S294" t="str">
        <f ca="1">IF(Tabla1[[#This Row],[En Mora]]="No","",DATEDIF((EDATE(Tabla1[[#This Row],[FechaDesembolso]],Tabla1[[#This Row],[Mes de Mora]])),TODAY(),"d"))</f>
        <v/>
      </c>
    </row>
    <row r="295" spans="1:19" x14ac:dyDescent="0.25">
      <c r="A295" t="s">
        <v>1137</v>
      </c>
      <c r="B295" t="s">
        <v>744</v>
      </c>
      <c r="C295" s="8" t="s">
        <v>31</v>
      </c>
      <c r="D295" s="8" t="str">
        <f>_xlfn.XLOOKUP(B295,Clientes!A:A,Clientes!G:G,"No encontrado",0)</f>
        <v>AG07</v>
      </c>
      <c r="E295" s="9">
        <v>46143</v>
      </c>
      <c r="F295" s="11">
        <v>4279</v>
      </c>
      <c r="G295" s="10">
        <v>0.41133865875085651</v>
      </c>
      <c r="H295" s="10">
        <f t="shared" si="26"/>
        <v>2.9127704691880529E-2</v>
      </c>
      <c r="I295">
        <v>8</v>
      </c>
      <c r="J295" s="12">
        <f t="shared" si="27"/>
        <v>607.32988363958236</v>
      </c>
      <c r="K295">
        <f t="shared" ca="1" si="28"/>
        <v>3</v>
      </c>
      <c r="L295">
        <f ca="1">MIN(DATEDIF(Tabla1[[#This Row],[FechaDesembolso]],TODAY(),"m"),Tabla1[[#This Row],[Plazos (Meses)]])</f>
        <v>3</v>
      </c>
      <c r="M295">
        <f t="shared" ca="1" si="29"/>
        <v>5</v>
      </c>
      <c r="N295" s="8" t="s">
        <v>1251</v>
      </c>
      <c r="O295" s="8" t="s">
        <v>1253</v>
      </c>
      <c r="P295" s="13">
        <f t="shared" ca="1" si="31"/>
        <v>4279</v>
      </c>
      <c r="Q29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217.36465091874709</v>
      </c>
      <c r="R295" s="8" t="str">
        <f t="shared" ca="1" si="30"/>
        <v>Vigente</v>
      </c>
      <c r="S295" t="str">
        <f ca="1">IF(Tabla1[[#This Row],[En Mora]]="No","",DATEDIF((EDATE(Tabla1[[#This Row],[FechaDesembolso]],Tabla1[[#This Row],[Mes de Mora]])),TODAY(),"d"))</f>
        <v/>
      </c>
    </row>
    <row r="296" spans="1:19" x14ac:dyDescent="0.25">
      <c r="A296" t="s">
        <v>1138</v>
      </c>
      <c r="B296" t="s">
        <v>210</v>
      </c>
      <c r="C296" s="8" t="s">
        <v>37</v>
      </c>
      <c r="D296" s="8" t="str">
        <f>_xlfn.XLOOKUP(B296,Clientes!A:A,Clientes!G:G,"No encontrado",0)</f>
        <v>AG05</v>
      </c>
      <c r="E296" s="9">
        <v>45055</v>
      </c>
      <c r="F296" s="11">
        <v>208634</v>
      </c>
      <c r="G296" s="10">
        <v>0.13157488363084635</v>
      </c>
      <c r="H296" s="10">
        <f t="shared" si="26"/>
        <v>1.0354100263090027E-2</v>
      </c>
      <c r="I296">
        <v>192</v>
      </c>
      <c r="J296" s="12">
        <f t="shared" si="27"/>
        <v>2507.1521889356031</v>
      </c>
      <c r="K296">
        <f t="shared" ca="1" si="28"/>
        <v>39</v>
      </c>
      <c r="L296">
        <f ca="1">MIN(DATEDIF(Tabla1[[#This Row],[FechaDesembolso]],TODAY(),"m"),Tabla1[[#This Row],[Plazos (Meses)]])</f>
        <v>39</v>
      </c>
      <c r="M296">
        <f t="shared" ca="1" si="29"/>
        <v>153</v>
      </c>
      <c r="N296" s="8" t="s">
        <v>1251</v>
      </c>
      <c r="O296" s="8" t="s">
        <v>1253</v>
      </c>
      <c r="P296" s="13">
        <f t="shared" ca="1" si="31"/>
        <v>208634</v>
      </c>
      <c r="Q29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55400.154118488528</v>
      </c>
      <c r="R296" s="8" t="str">
        <f t="shared" ca="1" si="30"/>
        <v>Vigente</v>
      </c>
      <c r="S296" t="str">
        <f ca="1">IF(Tabla1[[#This Row],[En Mora]]="No","",DATEDIF((EDATE(Tabla1[[#This Row],[FechaDesembolso]],Tabla1[[#This Row],[Mes de Mora]])),TODAY(),"d"))</f>
        <v/>
      </c>
    </row>
    <row r="297" spans="1:19" x14ac:dyDescent="0.25">
      <c r="A297" t="s">
        <v>1139</v>
      </c>
      <c r="B297" t="s">
        <v>825</v>
      </c>
      <c r="C297" s="8" t="s">
        <v>39</v>
      </c>
      <c r="D297" s="8" t="str">
        <f>_xlfn.XLOOKUP(B297,Clientes!A:A,Clientes!G:G,"No encontrado",0)</f>
        <v>AG06</v>
      </c>
      <c r="E297" s="9">
        <v>46030</v>
      </c>
      <c r="F297" s="11">
        <v>19187</v>
      </c>
      <c r="G297" s="10">
        <v>0.28765925857906721</v>
      </c>
      <c r="H297" s="10">
        <f t="shared" si="26"/>
        <v>2.1292351739903514E-2</v>
      </c>
      <c r="I297">
        <v>22</v>
      </c>
      <c r="J297" s="12">
        <f t="shared" si="27"/>
        <v>1101.3808432506542</v>
      </c>
      <c r="K297">
        <f t="shared" ca="1" si="28"/>
        <v>7</v>
      </c>
      <c r="L297">
        <f ca="1">MIN(DATEDIF(Tabla1[[#This Row],[FechaDesembolso]],TODAY(),"m"),Tabla1[[#This Row],[Plazos (Meses)]])</f>
        <v>7</v>
      </c>
      <c r="M297">
        <f t="shared" ca="1" si="29"/>
        <v>15</v>
      </c>
      <c r="N297" s="8" t="s">
        <v>1251</v>
      </c>
      <c r="O297" s="8" t="s">
        <v>1253</v>
      </c>
      <c r="P297" s="13">
        <f t="shared" ca="1" si="31"/>
        <v>19186.999999999964</v>
      </c>
      <c r="Q29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1604.7113573000331</v>
      </c>
      <c r="R297" s="8" t="str">
        <f t="shared" ca="1" si="30"/>
        <v>Vigente</v>
      </c>
      <c r="S297" t="str">
        <f ca="1">IF(Tabla1[[#This Row],[En Mora]]="No","",DATEDIF((EDATE(Tabla1[[#This Row],[FechaDesembolso]],Tabla1[[#This Row],[Mes de Mora]])),TODAY(),"d"))</f>
        <v/>
      </c>
    </row>
    <row r="298" spans="1:19" x14ac:dyDescent="0.25">
      <c r="A298" t="s">
        <v>1140</v>
      </c>
      <c r="B298" t="s">
        <v>380</v>
      </c>
      <c r="C298" s="8" t="s">
        <v>39</v>
      </c>
      <c r="D298" s="8" t="str">
        <f>_xlfn.XLOOKUP(B298,Clientes!A:A,Clientes!G:G,"No encontrado",0)</f>
        <v>AG08</v>
      </c>
      <c r="E298" s="9">
        <v>46160</v>
      </c>
      <c r="F298" s="11">
        <v>11122</v>
      </c>
      <c r="G298" s="10">
        <v>0.25028028392143081</v>
      </c>
      <c r="H298" s="10">
        <f t="shared" si="26"/>
        <v>1.8788299475054115E-2</v>
      </c>
      <c r="I298">
        <v>10</v>
      </c>
      <c r="J298" s="12">
        <f t="shared" si="27"/>
        <v>1230.3369910471492</v>
      </c>
      <c r="K298">
        <f t="shared" ca="1" si="28"/>
        <v>2</v>
      </c>
      <c r="L298">
        <f ca="1">MIN(DATEDIF(Tabla1[[#This Row],[FechaDesembolso]],TODAY(),"m"),Tabla1[[#This Row],[Plazos (Meses)]])</f>
        <v>2</v>
      </c>
      <c r="M298">
        <f t="shared" ca="1" si="29"/>
        <v>8</v>
      </c>
      <c r="N298" s="8" t="s">
        <v>1251</v>
      </c>
      <c r="O298" s="8" t="s">
        <v>1253</v>
      </c>
      <c r="P298" s="13">
        <f t="shared" ca="1" si="31"/>
        <v>11122.000000000013</v>
      </c>
      <c r="Q29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236.2739820942985</v>
      </c>
      <c r="R298" s="8" t="str">
        <f t="shared" ca="1" si="30"/>
        <v>Vigente</v>
      </c>
      <c r="S298" t="str">
        <f ca="1">IF(Tabla1[[#This Row],[En Mora]]="No","",DATEDIF((EDATE(Tabla1[[#This Row],[FechaDesembolso]],Tabla1[[#This Row],[Mes de Mora]])),TODAY(),"d"))</f>
        <v/>
      </c>
    </row>
    <row r="299" spans="1:19" x14ac:dyDescent="0.25">
      <c r="A299" t="s">
        <v>1141</v>
      </c>
      <c r="B299" t="s">
        <v>329</v>
      </c>
      <c r="C299" s="8" t="s">
        <v>39</v>
      </c>
      <c r="D299" s="8" t="str">
        <f>_xlfn.XLOOKUP(B299,Clientes!A:A,Clientes!G:G,"No encontrado",0)</f>
        <v>AG06</v>
      </c>
      <c r="E299" s="9">
        <v>45993</v>
      </c>
      <c r="F299" s="11">
        <v>5478</v>
      </c>
      <c r="G299" s="10">
        <v>0.3619167385598665</v>
      </c>
      <c r="H299" s="10">
        <f t="shared" si="26"/>
        <v>2.6075252432041118E-2</v>
      </c>
      <c r="I299">
        <v>19</v>
      </c>
      <c r="J299" s="12">
        <f t="shared" si="27"/>
        <v>369.27735528646394</v>
      </c>
      <c r="K299">
        <f t="shared" ca="1" si="28"/>
        <v>8</v>
      </c>
      <c r="L299">
        <f ca="1">MIN(DATEDIF(Tabla1[[#This Row],[FechaDesembolso]],TODAY(),"m"),Tabla1[[#This Row],[Plazos (Meses)]])</f>
        <v>8</v>
      </c>
      <c r="M299">
        <f t="shared" ca="1" si="29"/>
        <v>11</v>
      </c>
      <c r="N299" s="8" t="s">
        <v>1251</v>
      </c>
      <c r="O299" s="8" t="s">
        <v>1253</v>
      </c>
      <c r="P299" s="13">
        <f t="shared" ca="1" si="31"/>
        <v>5478.0000000000036</v>
      </c>
      <c r="Q29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647.69252650223791</v>
      </c>
      <c r="R299" s="8" t="str">
        <f t="shared" ca="1" si="30"/>
        <v>Vigente</v>
      </c>
      <c r="S299" t="str">
        <f ca="1">IF(Tabla1[[#This Row],[En Mora]]="No","",DATEDIF((EDATE(Tabla1[[#This Row],[FechaDesembolso]],Tabla1[[#This Row],[Mes de Mora]])),TODAY(),"d"))</f>
        <v/>
      </c>
    </row>
    <row r="300" spans="1:19" x14ac:dyDescent="0.25">
      <c r="A300" t="s">
        <v>1142</v>
      </c>
      <c r="B300" t="s">
        <v>549</v>
      </c>
      <c r="C300" s="8" t="s">
        <v>37</v>
      </c>
      <c r="D300" s="8" t="str">
        <f>_xlfn.XLOOKUP(B300,Clientes!A:A,Clientes!G:G,"No encontrado",0)</f>
        <v>AG05</v>
      </c>
      <c r="E300" s="9">
        <v>44793</v>
      </c>
      <c r="F300" s="11">
        <v>220079</v>
      </c>
      <c r="G300" s="10">
        <v>0.12788286586422301</v>
      </c>
      <c r="H300" s="10">
        <f t="shared" si="26"/>
        <v>1.0078979627698104E-2</v>
      </c>
      <c r="I300">
        <v>96</v>
      </c>
      <c r="J300" s="12">
        <f t="shared" si="27"/>
        <v>3588.3792776683945</v>
      </c>
      <c r="K300">
        <f t="shared" ca="1" si="28"/>
        <v>47</v>
      </c>
      <c r="L300">
        <f ca="1">MIN(DATEDIF(Tabla1[[#This Row],[FechaDesembolso]],TODAY(),"m"),Tabla1[[#This Row],[Plazos (Meses)]])</f>
        <v>47</v>
      </c>
      <c r="M300">
        <f t="shared" ca="1" si="29"/>
        <v>49</v>
      </c>
      <c r="N300" s="8" t="s">
        <v>1251</v>
      </c>
      <c r="O300" s="8" t="s">
        <v>1253</v>
      </c>
      <c r="P300" s="13">
        <f t="shared" ca="1" si="31"/>
        <v>220078.9999999998</v>
      </c>
      <c r="Q30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60906.815633747865</v>
      </c>
      <c r="R300" s="8" t="str">
        <f t="shared" ca="1" si="30"/>
        <v>Vigente</v>
      </c>
      <c r="S300" t="str">
        <f ca="1">IF(Tabla1[[#This Row],[En Mora]]="No","",DATEDIF((EDATE(Tabla1[[#This Row],[FechaDesembolso]],Tabla1[[#This Row],[Mes de Mora]])),TODAY(),"d"))</f>
        <v/>
      </c>
    </row>
    <row r="301" spans="1:19" x14ac:dyDescent="0.25">
      <c r="A301" t="s">
        <v>1143</v>
      </c>
      <c r="B301" t="s">
        <v>108</v>
      </c>
      <c r="C301" s="8" t="s">
        <v>39</v>
      </c>
      <c r="D301" s="8" t="str">
        <f>_xlfn.XLOOKUP(B301,Clientes!A:A,Clientes!G:G,"No encontrado",0)</f>
        <v>AG07</v>
      </c>
      <c r="E301" s="9">
        <v>44993</v>
      </c>
      <c r="F301" s="11">
        <v>1033</v>
      </c>
      <c r="G301" s="10">
        <v>0.25224570293075571</v>
      </c>
      <c r="H301" s="10">
        <f t="shared" si="26"/>
        <v>1.8921663215494711E-2</v>
      </c>
      <c r="I301">
        <v>13</v>
      </c>
      <c r="J301" s="12">
        <f t="shared" si="27"/>
        <v>90.380530032167016</v>
      </c>
      <c r="K301">
        <f t="shared" ca="1" si="28"/>
        <v>11</v>
      </c>
      <c r="L301">
        <f ca="1">MIN(DATEDIF(Tabla1[[#This Row],[FechaDesembolso]],TODAY(),"m"),Tabla1[[#This Row],[Plazos (Meses)]])</f>
        <v>13</v>
      </c>
      <c r="M301">
        <f t="shared" ca="1" si="29"/>
        <v>2</v>
      </c>
      <c r="N301" s="8" t="s">
        <v>1252</v>
      </c>
      <c r="O301" s="8">
        <v>11</v>
      </c>
      <c r="P301" s="13">
        <f t="shared" ca="1" si="31"/>
        <v>1032.9999999999986</v>
      </c>
      <c r="Q30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120.10890727691415</v>
      </c>
      <c r="R301" s="8" t="str">
        <f t="shared" si="30"/>
        <v>En mora</v>
      </c>
      <c r="S301">
        <f ca="1">IF(Tabla1[[#This Row],[En Mora]]="No","",DATEDIF((EDATE(Tabla1[[#This Row],[FechaDesembolso]],Tabla1[[#This Row],[Mes de Mora]])),TODAY(),"d"))</f>
        <v>916</v>
      </c>
    </row>
    <row r="302" spans="1:19" x14ac:dyDescent="0.25">
      <c r="A302" t="s">
        <v>1144</v>
      </c>
      <c r="B302" t="s">
        <v>600</v>
      </c>
      <c r="C302" s="8" t="s">
        <v>31</v>
      </c>
      <c r="D302" s="8" t="str">
        <f>_xlfn.XLOOKUP(B302,Clientes!A:A,Clientes!G:G,"No encontrado",0)</f>
        <v>AG07</v>
      </c>
      <c r="E302" s="9">
        <v>45984</v>
      </c>
      <c r="F302" s="11">
        <v>5147</v>
      </c>
      <c r="G302" s="10">
        <v>0.50570130853163686</v>
      </c>
      <c r="H302" s="10">
        <f t="shared" si="26"/>
        <v>3.469313822460296E-2</v>
      </c>
      <c r="I302">
        <v>35</v>
      </c>
      <c r="J302" s="12">
        <f t="shared" si="27"/>
        <v>256.23076276615529</v>
      </c>
      <c r="K302">
        <f t="shared" ca="1" si="28"/>
        <v>8</v>
      </c>
      <c r="L302">
        <f ca="1">MIN(DATEDIF(Tabla1[[#This Row],[FechaDesembolso]],TODAY(),"m"),Tabla1[[#This Row],[Plazos (Meses)]])</f>
        <v>8</v>
      </c>
      <c r="M302">
        <f t="shared" ca="1" si="29"/>
        <v>27</v>
      </c>
      <c r="N302" s="8" t="s">
        <v>1251</v>
      </c>
      <c r="O302" s="8" t="s">
        <v>1253</v>
      </c>
      <c r="P302" s="13">
        <f t="shared" ca="1" si="31"/>
        <v>5147.0000000000018</v>
      </c>
      <c r="Q30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873.38895927209933</v>
      </c>
      <c r="R302" s="8" t="str">
        <f t="shared" ca="1" si="30"/>
        <v>Vigente</v>
      </c>
      <c r="S302" t="str">
        <f ca="1">IF(Tabla1[[#This Row],[En Mora]]="No","",DATEDIF((EDATE(Tabla1[[#This Row],[FechaDesembolso]],Tabla1[[#This Row],[Mes de Mora]])),TODAY(),"d"))</f>
        <v/>
      </c>
    </row>
    <row r="303" spans="1:19" x14ac:dyDescent="0.25">
      <c r="A303" t="s">
        <v>1145</v>
      </c>
      <c r="B303" t="s">
        <v>822</v>
      </c>
      <c r="C303" s="8" t="s">
        <v>39</v>
      </c>
      <c r="D303" s="8" t="str">
        <f>_xlfn.XLOOKUP(B303,Clientes!A:A,Clientes!G:G,"No encontrado",0)</f>
        <v>AG01</v>
      </c>
      <c r="E303" s="9">
        <v>45995</v>
      </c>
      <c r="F303" s="11">
        <v>6748</v>
      </c>
      <c r="G303" s="10">
        <v>0.22566618584497625</v>
      </c>
      <c r="H303" s="10">
        <f t="shared" si="26"/>
        <v>1.7101630206133311E-2</v>
      </c>
      <c r="I303">
        <v>15</v>
      </c>
      <c r="J303" s="12">
        <f t="shared" si="27"/>
        <v>513.84688037194553</v>
      </c>
      <c r="K303">
        <f t="shared" ca="1" si="28"/>
        <v>8</v>
      </c>
      <c r="L303">
        <f ca="1">MIN(DATEDIF(Tabla1[[#This Row],[FechaDesembolso]],TODAY(),"m"),Tabla1[[#This Row],[Plazos (Meses)]])</f>
        <v>8</v>
      </c>
      <c r="M303">
        <f t="shared" ca="1" si="29"/>
        <v>7</v>
      </c>
      <c r="N303" s="8" t="s">
        <v>1251</v>
      </c>
      <c r="O303" s="8" t="s">
        <v>1253</v>
      </c>
      <c r="P303" s="13">
        <f t="shared" ca="1" si="31"/>
        <v>6747.9999999999936</v>
      </c>
      <c r="Q30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511.84170964223108</v>
      </c>
      <c r="R303" s="8" t="str">
        <f t="shared" ca="1" si="30"/>
        <v>Vigente</v>
      </c>
      <c r="S303" t="str">
        <f ca="1">IF(Tabla1[[#This Row],[En Mora]]="No","",DATEDIF((EDATE(Tabla1[[#This Row],[FechaDesembolso]],Tabla1[[#This Row],[Mes de Mora]])),TODAY(),"d"))</f>
        <v/>
      </c>
    </row>
    <row r="304" spans="1:19" x14ac:dyDescent="0.25">
      <c r="A304" t="s">
        <v>1146</v>
      </c>
      <c r="B304" t="s">
        <v>796</v>
      </c>
      <c r="C304" s="8" t="s">
        <v>37</v>
      </c>
      <c r="D304" s="8" t="str">
        <f>_xlfn.XLOOKUP(B304,Clientes!A:A,Clientes!G:G,"No encontrado",0)</f>
        <v>AG02</v>
      </c>
      <c r="E304" s="9">
        <v>45534</v>
      </c>
      <c r="F304" s="11">
        <v>126922</v>
      </c>
      <c r="G304" s="10">
        <v>0.10270740096823296</v>
      </c>
      <c r="H304" s="10">
        <f t="shared" si="26"/>
        <v>8.1806492521299123E-3</v>
      </c>
      <c r="I304">
        <v>78</v>
      </c>
      <c r="J304" s="12">
        <f t="shared" si="27"/>
        <v>2207.6239031741479</v>
      </c>
      <c r="K304">
        <f t="shared" ca="1" si="28"/>
        <v>23</v>
      </c>
      <c r="L304">
        <f ca="1">MIN(DATEDIF(Tabla1[[#This Row],[FechaDesembolso]],TODAY(),"m"),Tabla1[[#This Row],[Plazos (Meses)]])</f>
        <v>23</v>
      </c>
      <c r="M304">
        <f t="shared" ca="1" si="29"/>
        <v>55</v>
      </c>
      <c r="N304" s="8" t="s">
        <v>1251</v>
      </c>
      <c r="O304" s="8" t="s">
        <v>1253</v>
      </c>
      <c r="P304" s="13">
        <f t="shared" ca="1" si="31"/>
        <v>126921.9999999998</v>
      </c>
      <c r="Q30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13349.631824287457</v>
      </c>
      <c r="R304" s="8" t="str">
        <f t="shared" ca="1" si="30"/>
        <v>Vigente</v>
      </c>
      <c r="S304" t="str">
        <f ca="1">IF(Tabla1[[#This Row],[En Mora]]="No","",DATEDIF((EDATE(Tabla1[[#This Row],[FechaDesembolso]],Tabla1[[#This Row],[Mes de Mora]])),TODAY(),"d"))</f>
        <v/>
      </c>
    </row>
    <row r="305" spans="1:19" x14ac:dyDescent="0.25">
      <c r="A305" t="s">
        <v>1147</v>
      </c>
      <c r="B305" t="s">
        <v>392</v>
      </c>
      <c r="C305" s="8" t="s">
        <v>33</v>
      </c>
      <c r="D305" s="8" t="str">
        <f>_xlfn.XLOOKUP(B305,Clientes!A:A,Clientes!G:G,"No encontrado",0)</f>
        <v>AG03</v>
      </c>
      <c r="E305" s="9">
        <v>45856</v>
      </c>
      <c r="F305" s="11">
        <v>48513</v>
      </c>
      <c r="G305" s="10">
        <v>0.35962138819833528</v>
      </c>
      <c r="H305" s="10">
        <f t="shared" si="26"/>
        <v>2.5931030235729846E-2</v>
      </c>
      <c r="I305">
        <v>25</v>
      </c>
      <c r="J305" s="12">
        <f t="shared" si="27"/>
        <v>2661.2091793852605</v>
      </c>
      <c r="K305">
        <f t="shared" ca="1" si="28"/>
        <v>12</v>
      </c>
      <c r="L305">
        <f ca="1">MIN(DATEDIF(Tabla1[[#This Row],[FechaDesembolso]],TODAY(),"m"),Tabla1[[#This Row],[Plazos (Meses)]])</f>
        <v>12</v>
      </c>
      <c r="M305">
        <f t="shared" ca="1" si="29"/>
        <v>13</v>
      </c>
      <c r="N305" s="8" t="s">
        <v>1251</v>
      </c>
      <c r="O305" s="8" t="s">
        <v>1253</v>
      </c>
      <c r="P305" s="13">
        <f t="shared" ca="1" si="31"/>
        <v>48512.999999999949</v>
      </c>
      <c r="Q30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8648.2701526231285</v>
      </c>
      <c r="R305" s="8" t="str">
        <f t="shared" ca="1" si="30"/>
        <v>Vigente</v>
      </c>
      <c r="S305" t="str">
        <f ca="1">IF(Tabla1[[#This Row],[En Mora]]="No","",DATEDIF((EDATE(Tabla1[[#This Row],[FechaDesembolso]],Tabla1[[#This Row],[Mes de Mora]])),TODAY(),"d"))</f>
        <v/>
      </c>
    </row>
    <row r="306" spans="1:19" x14ac:dyDescent="0.25">
      <c r="A306" t="s">
        <v>1148</v>
      </c>
      <c r="B306" t="s">
        <v>356</v>
      </c>
      <c r="C306" s="8" t="s">
        <v>33</v>
      </c>
      <c r="D306" s="8" t="str">
        <f>_xlfn.XLOOKUP(B306,Clientes!A:A,Clientes!G:G,"No encontrado",0)</f>
        <v>AG05</v>
      </c>
      <c r="E306" s="9">
        <v>45929</v>
      </c>
      <c r="F306" s="11">
        <v>35633</v>
      </c>
      <c r="G306" s="10">
        <v>0.27149347377453908</v>
      </c>
      <c r="H306" s="10">
        <f t="shared" si="26"/>
        <v>2.021767810128039E-2</v>
      </c>
      <c r="I306">
        <v>36</v>
      </c>
      <c r="J306" s="12">
        <f t="shared" si="27"/>
        <v>1402.8760330395121</v>
      </c>
      <c r="K306">
        <f t="shared" ca="1" si="28"/>
        <v>10</v>
      </c>
      <c r="L306">
        <f ca="1">MIN(DATEDIF(Tabla1[[#This Row],[FechaDesembolso]],TODAY(),"m"),Tabla1[[#This Row],[Plazos (Meses)]])</f>
        <v>10</v>
      </c>
      <c r="M306">
        <f t="shared" ca="1" si="29"/>
        <v>26</v>
      </c>
      <c r="N306" s="8" t="s">
        <v>1251</v>
      </c>
      <c r="O306" s="8" t="s">
        <v>1253</v>
      </c>
      <c r="P306" s="13">
        <f t="shared" ca="1" si="31"/>
        <v>35633.000000000073</v>
      </c>
      <c r="Q30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4130.7047748395662</v>
      </c>
      <c r="R306" s="8" t="str">
        <f t="shared" ca="1" si="30"/>
        <v>Vigente</v>
      </c>
      <c r="S306" t="str">
        <f ca="1">IF(Tabla1[[#This Row],[En Mora]]="No","",DATEDIF((EDATE(Tabla1[[#This Row],[FechaDesembolso]],Tabla1[[#This Row],[Mes de Mora]])),TODAY(),"d"))</f>
        <v/>
      </c>
    </row>
    <row r="307" spans="1:19" x14ac:dyDescent="0.25">
      <c r="A307" t="s">
        <v>1149</v>
      </c>
      <c r="B307" t="s">
        <v>207</v>
      </c>
      <c r="C307" s="8" t="s">
        <v>35</v>
      </c>
      <c r="D307" s="8" t="str">
        <f>_xlfn.XLOOKUP(B307,Clientes!A:A,Clientes!G:G,"No encontrado",0)</f>
        <v>AG05</v>
      </c>
      <c r="E307" s="9">
        <v>45481</v>
      </c>
      <c r="F307" s="11">
        <v>50140</v>
      </c>
      <c r="G307" s="10">
        <v>0.3014004602914277</v>
      </c>
      <c r="H307" s="10">
        <f t="shared" si="26"/>
        <v>2.2196162799892116E-2</v>
      </c>
      <c r="I307">
        <v>47</v>
      </c>
      <c r="J307" s="12">
        <f t="shared" si="27"/>
        <v>1729.0996385591259</v>
      </c>
      <c r="K307">
        <f t="shared" ca="1" si="28"/>
        <v>25</v>
      </c>
      <c r="L307">
        <f ca="1">MIN(DATEDIF(Tabla1[[#This Row],[FechaDesembolso]],TODAY(),"m"),Tabla1[[#This Row],[Plazos (Meses)]])</f>
        <v>25</v>
      </c>
      <c r="M307">
        <f t="shared" ca="1" si="29"/>
        <v>22</v>
      </c>
      <c r="N307" s="8" t="s">
        <v>1251</v>
      </c>
      <c r="O307" s="8" t="s">
        <v>1253</v>
      </c>
      <c r="P307" s="13">
        <f t="shared" ca="1" si="31"/>
        <v>50140.000000000036</v>
      </c>
      <c r="Q30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16557.278198020696</v>
      </c>
      <c r="R307" s="8" t="str">
        <f t="shared" ca="1" si="30"/>
        <v>Vigente</v>
      </c>
      <c r="S307" t="str">
        <f ca="1">IF(Tabla1[[#This Row],[En Mora]]="No","",DATEDIF((EDATE(Tabla1[[#This Row],[FechaDesembolso]],Tabla1[[#This Row],[Mes de Mora]])),TODAY(),"d"))</f>
        <v/>
      </c>
    </row>
    <row r="308" spans="1:19" x14ac:dyDescent="0.25">
      <c r="A308" t="s">
        <v>1150</v>
      </c>
      <c r="B308" t="s">
        <v>519</v>
      </c>
      <c r="C308" s="8" t="s">
        <v>33</v>
      </c>
      <c r="D308" s="8" t="str">
        <f>_xlfn.XLOOKUP(B308,Clientes!A:A,Clientes!G:G,"No encontrado",0)</f>
        <v>AG06</v>
      </c>
      <c r="E308" s="9">
        <v>46037</v>
      </c>
      <c r="F308" s="11">
        <v>22342</v>
      </c>
      <c r="G308" s="10">
        <v>0.4187345976360477</v>
      </c>
      <c r="H308" s="10">
        <f t="shared" si="26"/>
        <v>2.9576046488740459E-2</v>
      </c>
      <c r="I308">
        <v>29</v>
      </c>
      <c r="J308" s="12">
        <f t="shared" si="27"/>
        <v>1158.1455205238492</v>
      </c>
      <c r="K308">
        <f t="shared" ca="1" si="28"/>
        <v>6</v>
      </c>
      <c r="L308">
        <f ca="1">MIN(DATEDIF(Tabla1[[#This Row],[FechaDesembolso]],TODAY(),"m"),Tabla1[[#This Row],[Plazos (Meses)]])</f>
        <v>6</v>
      </c>
      <c r="M308">
        <f t="shared" ca="1" si="29"/>
        <v>23</v>
      </c>
      <c r="N308" s="8" t="s">
        <v>1251</v>
      </c>
      <c r="O308" s="8" t="s">
        <v>1253</v>
      </c>
      <c r="P308" s="13">
        <f t="shared" ca="1" si="31"/>
        <v>22342.000000000011</v>
      </c>
      <c r="Q30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2326.390364522405</v>
      </c>
      <c r="R308" s="8" t="str">
        <f t="shared" ca="1" si="30"/>
        <v>Vigente</v>
      </c>
      <c r="S308" t="str">
        <f ca="1">IF(Tabla1[[#This Row],[En Mora]]="No","",DATEDIF((EDATE(Tabla1[[#This Row],[FechaDesembolso]],Tabla1[[#This Row],[Mes de Mora]])),TODAY(),"d"))</f>
        <v/>
      </c>
    </row>
    <row r="309" spans="1:19" x14ac:dyDescent="0.25">
      <c r="A309" t="s">
        <v>1151</v>
      </c>
      <c r="B309" t="s">
        <v>780</v>
      </c>
      <c r="C309" s="8" t="s">
        <v>35</v>
      </c>
      <c r="D309" s="8" t="str">
        <f>_xlfn.XLOOKUP(B309,Clientes!A:A,Clientes!G:G,"No encontrado",0)</f>
        <v>AG02</v>
      </c>
      <c r="E309" s="9">
        <v>45879</v>
      </c>
      <c r="F309" s="11">
        <v>69613</v>
      </c>
      <c r="G309" s="10">
        <v>0.25276282846452658</v>
      </c>
      <c r="H309" s="10">
        <f t="shared" si="26"/>
        <v>1.8956720945798811E-2</v>
      </c>
      <c r="I309">
        <v>13</v>
      </c>
      <c r="J309" s="12">
        <f t="shared" si="27"/>
        <v>6092.0798674468515</v>
      </c>
      <c r="K309">
        <f t="shared" ca="1" si="28"/>
        <v>12</v>
      </c>
      <c r="L309">
        <f ca="1">MIN(DATEDIF(Tabla1[[#This Row],[FechaDesembolso]],TODAY(),"m"),Tabla1[[#This Row],[Plazos (Meses)]])</f>
        <v>12</v>
      </c>
      <c r="M309">
        <f t="shared" ca="1" si="29"/>
        <v>1</v>
      </c>
      <c r="N309" s="8" t="s">
        <v>1251</v>
      </c>
      <c r="O309" s="8" t="s">
        <v>1253</v>
      </c>
      <c r="P309" s="13">
        <f t="shared" ca="1" si="31"/>
        <v>69612.99999999984</v>
      </c>
      <c r="Q30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8846.8045632083667</v>
      </c>
      <c r="R309" s="8" t="str">
        <f t="shared" ca="1" si="30"/>
        <v>Vigente</v>
      </c>
      <c r="S309" t="str">
        <f ca="1">IF(Tabla1[[#This Row],[En Mora]]="No","",DATEDIF((EDATE(Tabla1[[#This Row],[FechaDesembolso]],Tabla1[[#This Row],[Mes de Mora]])),TODAY(),"d"))</f>
        <v/>
      </c>
    </row>
    <row r="310" spans="1:19" x14ac:dyDescent="0.25">
      <c r="A310" t="s">
        <v>1152</v>
      </c>
      <c r="B310" t="s">
        <v>429</v>
      </c>
      <c r="C310" s="8" t="s">
        <v>39</v>
      </c>
      <c r="D310" s="8" t="str">
        <f>_xlfn.XLOOKUP(B310,Clientes!A:A,Clientes!G:G,"No encontrado",0)</f>
        <v>AG06</v>
      </c>
      <c r="E310" s="9">
        <v>44845</v>
      </c>
      <c r="F310" s="11">
        <v>9986</v>
      </c>
      <c r="G310" s="10">
        <v>0.23970422090155208</v>
      </c>
      <c r="H310" s="10">
        <f t="shared" si="26"/>
        <v>1.8067343104893441E-2</v>
      </c>
      <c r="I310">
        <v>12</v>
      </c>
      <c r="J310" s="12">
        <f t="shared" si="27"/>
        <v>933.10013471512684</v>
      </c>
      <c r="K310">
        <f t="shared" ca="1" si="28"/>
        <v>12</v>
      </c>
      <c r="L310">
        <f ca="1">MIN(DATEDIF(Tabla1[[#This Row],[FechaDesembolso]],TODAY(),"m"),Tabla1[[#This Row],[Plazos (Meses)]])</f>
        <v>12</v>
      </c>
      <c r="M310">
        <f t="shared" ca="1" si="29"/>
        <v>0</v>
      </c>
      <c r="N310" s="8" t="s">
        <v>1251</v>
      </c>
      <c r="O310" s="8" t="s">
        <v>1253</v>
      </c>
      <c r="P310" s="13">
        <f t="shared" ca="1" si="31"/>
        <v>0</v>
      </c>
      <c r="Q31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10" s="8" t="str">
        <f t="shared" ca="1" si="30"/>
        <v>Cancelado</v>
      </c>
      <c r="S310" t="str">
        <f ca="1">IF(Tabla1[[#This Row],[En Mora]]="No","",DATEDIF((EDATE(Tabla1[[#This Row],[FechaDesembolso]],Tabla1[[#This Row],[Mes de Mora]])),TODAY(),"d"))</f>
        <v/>
      </c>
    </row>
    <row r="311" spans="1:19" x14ac:dyDescent="0.25">
      <c r="A311" t="s">
        <v>1153</v>
      </c>
      <c r="B311" t="s">
        <v>92</v>
      </c>
      <c r="C311" s="8" t="s">
        <v>31</v>
      </c>
      <c r="D311" s="8" t="str">
        <f>_xlfn.XLOOKUP(B311,Clientes!A:A,Clientes!G:G,"No encontrado",0)</f>
        <v>AG01</v>
      </c>
      <c r="E311" s="9">
        <v>46172</v>
      </c>
      <c r="F311" s="11">
        <v>10252</v>
      </c>
      <c r="G311" s="10">
        <v>0.52182142380542729</v>
      </c>
      <c r="H311" s="10">
        <f t="shared" si="26"/>
        <v>3.5611762399157199E-2</v>
      </c>
      <c r="I311">
        <v>28</v>
      </c>
      <c r="J311" s="12">
        <f t="shared" si="27"/>
        <v>584.5132264682079</v>
      </c>
      <c r="K311">
        <f t="shared" ca="1" si="28"/>
        <v>2</v>
      </c>
      <c r="L311">
        <f ca="1">MIN(DATEDIF(Tabla1[[#This Row],[FechaDesembolso]],TODAY(),"m"),Tabla1[[#This Row],[Plazos (Meses)]])</f>
        <v>2</v>
      </c>
      <c r="M311">
        <f t="shared" ca="1" si="29"/>
        <v>26</v>
      </c>
      <c r="N311" s="8" t="s">
        <v>1251</v>
      </c>
      <c r="O311" s="8" t="s">
        <v>1253</v>
      </c>
      <c r="P311" s="13">
        <f t="shared" ca="1" si="31"/>
        <v>10251.999999999993</v>
      </c>
      <c r="Q31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436.74073865070147</v>
      </c>
      <c r="R311" s="8" t="str">
        <f t="shared" ca="1" si="30"/>
        <v>Vigente</v>
      </c>
      <c r="S311" t="str">
        <f ca="1">IF(Tabla1[[#This Row],[En Mora]]="No","",DATEDIF((EDATE(Tabla1[[#This Row],[FechaDesembolso]],Tabla1[[#This Row],[Mes de Mora]])),TODAY(),"d"))</f>
        <v/>
      </c>
    </row>
    <row r="312" spans="1:19" x14ac:dyDescent="0.25">
      <c r="A312" t="s">
        <v>1154</v>
      </c>
      <c r="B312" t="s">
        <v>404</v>
      </c>
      <c r="C312" s="8" t="s">
        <v>31</v>
      </c>
      <c r="D312" s="8" t="str">
        <f>_xlfn.XLOOKUP(B312,Clientes!A:A,Clientes!G:G,"No encontrado",0)</f>
        <v>AG08</v>
      </c>
      <c r="E312" s="9">
        <v>45504</v>
      </c>
      <c r="F312" s="11">
        <v>8562</v>
      </c>
      <c r="G312" s="10">
        <v>0.44380142719818161</v>
      </c>
      <c r="H312" s="10">
        <f t="shared" si="26"/>
        <v>3.1079824382081567E-2</v>
      </c>
      <c r="I312">
        <v>12</v>
      </c>
      <c r="J312" s="12">
        <f t="shared" si="27"/>
        <v>865.71023464810287</v>
      </c>
      <c r="K312">
        <f t="shared" ca="1" si="28"/>
        <v>12</v>
      </c>
      <c r="L312">
        <f ca="1">MIN(DATEDIF(Tabla1[[#This Row],[FechaDesembolso]],TODAY(),"m"),Tabla1[[#This Row],[Plazos (Meses)]])</f>
        <v>12</v>
      </c>
      <c r="M312">
        <f t="shared" ca="1" si="29"/>
        <v>0</v>
      </c>
      <c r="N312" s="8" t="s">
        <v>1251</v>
      </c>
      <c r="O312" s="8" t="s">
        <v>1253</v>
      </c>
      <c r="P312" s="13">
        <f t="shared" ca="1" si="31"/>
        <v>0</v>
      </c>
      <c r="Q31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12" s="8" t="str">
        <f t="shared" ca="1" si="30"/>
        <v>Cancelado</v>
      </c>
      <c r="S312" t="str">
        <f ca="1">IF(Tabla1[[#This Row],[En Mora]]="No","",DATEDIF((EDATE(Tabla1[[#This Row],[FechaDesembolso]],Tabla1[[#This Row],[Mes de Mora]])),TODAY(),"d"))</f>
        <v/>
      </c>
    </row>
    <row r="313" spans="1:19" x14ac:dyDescent="0.25">
      <c r="A313" t="s">
        <v>1155</v>
      </c>
      <c r="B313" t="s">
        <v>645</v>
      </c>
      <c r="C313" s="8" t="s">
        <v>33</v>
      </c>
      <c r="D313" s="8" t="str">
        <f>_xlfn.XLOOKUP(B313,Clientes!A:A,Clientes!G:G,"No encontrado",0)</f>
        <v>AG08</v>
      </c>
      <c r="E313" s="9">
        <v>46178</v>
      </c>
      <c r="F313" s="11">
        <v>19547</v>
      </c>
      <c r="G313" s="10">
        <v>0.30667035005040982</v>
      </c>
      <c r="H313" s="10">
        <f t="shared" si="26"/>
        <v>2.2540464263744342E-2</v>
      </c>
      <c r="I313">
        <v>19</v>
      </c>
      <c r="J313" s="12">
        <f t="shared" si="27"/>
        <v>1276.1439837052981</v>
      </c>
      <c r="K313">
        <f t="shared" ca="1" si="28"/>
        <v>2</v>
      </c>
      <c r="L313">
        <f ca="1">MIN(DATEDIF(Tabla1[[#This Row],[FechaDesembolso]],TODAY(),"m"),Tabla1[[#This Row],[Plazos (Meses)]])</f>
        <v>2</v>
      </c>
      <c r="M313">
        <f t="shared" ca="1" si="29"/>
        <v>17</v>
      </c>
      <c r="N313" s="8" t="s">
        <v>1251</v>
      </c>
      <c r="O313" s="8" t="s">
        <v>1253</v>
      </c>
      <c r="P313" s="13">
        <f t="shared" ca="1" si="31"/>
        <v>19547.000000000029</v>
      </c>
      <c r="Q31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494.70902004217498</v>
      </c>
      <c r="R313" s="8" t="str">
        <f t="shared" ca="1" si="30"/>
        <v>Vigente</v>
      </c>
      <c r="S313" t="str">
        <f ca="1">IF(Tabla1[[#This Row],[En Mora]]="No","",DATEDIF((EDATE(Tabla1[[#This Row],[FechaDesembolso]],Tabla1[[#This Row],[Mes de Mora]])),TODAY(),"d"))</f>
        <v/>
      </c>
    </row>
    <row r="314" spans="1:19" x14ac:dyDescent="0.25">
      <c r="A314" t="s">
        <v>1156</v>
      </c>
      <c r="B314" t="s">
        <v>76</v>
      </c>
      <c r="C314" s="8" t="s">
        <v>35</v>
      </c>
      <c r="D314" s="8" t="str">
        <f>_xlfn.XLOOKUP(B314,Clientes!A:A,Clientes!G:G,"No encontrado",0)</f>
        <v>AG06</v>
      </c>
      <c r="E314" s="9">
        <v>45209</v>
      </c>
      <c r="F314" s="11">
        <v>92798</v>
      </c>
      <c r="G314" s="10">
        <v>0.26865569449217597</v>
      </c>
      <c r="H314" s="10">
        <f t="shared" si="26"/>
        <v>2.0027736219389691E-2</v>
      </c>
      <c r="I314">
        <v>52</v>
      </c>
      <c r="J314" s="12">
        <f t="shared" si="27"/>
        <v>2888.5973486702687</v>
      </c>
      <c r="K314">
        <f t="shared" ca="1" si="28"/>
        <v>34</v>
      </c>
      <c r="L314">
        <f ca="1">MIN(DATEDIF(Tabla1[[#This Row],[FechaDesembolso]],TODAY(),"m"),Tabla1[[#This Row],[Plazos (Meses)]])</f>
        <v>34</v>
      </c>
      <c r="M314">
        <f t="shared" ca="1" si="29"/>
        <v>18</v>
      </c>
      <c r="N314" s="8" t="s">
        <v>1251</v>
      </c>
      <c r="O314" s="8" t="s">
        <v>1253</v>
      </c>
      <c r="P314" s="13">
        <f t="shared" ca="1" si="31"/>
        <v>92797.999999999985</v>
      </c>
      <c r="Q31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37536.694470173752</v>
      </c>
      <c r="R314" s="8" t="str">
        <f t="shared" ca="1" si="30"/>
        <v>Vigente</v>
      </c>
      <c r="S314" t="str">
        <f ca="1">IF(Tabla1[[#This Row],[En Mora]]="No","",DATEDIF((EDATE(Tabla1[[#This Row],[FechaDesembolso]],Tabla1[[#This Row],[Mes de Mora]])),TODAY(),"d"))</f>
        <v/>
      </c>
    </row>
    <row r="315" spans="1:19" x14ac:dyDescent="0.25">
      <c r="A315" t="s">
        <v>1157</v>
      </c>
      <c r="B315" t="s">
        <v>804</v>
      </c>
      <c r="C315" s="8" t="s">
        <v>31</v>
      </c>
      <c r="D315" s="8" t="str">
        <f>_xlfn.XLOOKUP(B315,Clientes!A:A,Clientes!G:G,"No encontrado",0)</f>
        <v>AG07</v>
      </c>
      <c r="E315" s="9">
        <v>46065</v>
      </c>
      <c r="F315" s="11">
        <v>13366</v>
      </c>
      <c r="G315" s="10">
        <v>0.43359548101468776</v>
      </c>
      <c r="H315" s="10">
        <f t="shared" si="26"/>
        <v>3.0470472721556341E-2</v>
      </c>
      <c r="I315">
        <v>7</v>
      </c>
      <c r="J315" s="12">
        <f t="shared" si="27"/>
        <v>2149.1334399586613</v>
      </c>
      <c r="K315">
        <f t="shared" ca="1" si="28"/>
        <v>6</v>
      </c>
      <c r="L315">
        <f ca="1">MIN(DATEDIF(Tabla1[[#This Row],[FechaDesembolso]],TODAY(),"m"),Tabla1[[#This Row],[Plazos (Meses)]])</f>
        <v>6</v>
      </c>
      <c r="M315">
        <f t="shared" ca="1" si="29"/>
        <v>1</v>
      </c>
      <c r="N315" s="8" t="s">
        <v>1251</v>
      </c>
      <c r="O315" s="8" t="s">
        <v>1253</v>
      </c>
      <c r="P315" s="13">
        <f t="shared" ca="1" si="31"/>
        <v>13366.00000000002</v>
      </c>
      <c r="Q31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1438.2292111805389</v>
      </c>
      <c r="R315" s="8" t="str">
        <f t="shared" ca="1" si="30"/>
        <v>Vigente</v>
      </c>
      <c r="S315" t="str">
        <f ca="1">IF(Tabla1[[#This Row],[En Mora]]="No","",DATEDIF((EDATE(Tabla1[[#This Row],[FechaDesembolso]],Tabla1[[#This Row],[Mes de Mora]])),TODAY(),"d"))</f>
        <v/>
      </c>
    </row>
    <row r="316" spans="1:19" x14ac:dyDescent="0.25">
      <c r="A316" t="s">
        <v>1158</v>
      </c>
      <c r="B316" t="s">
        <v>615</v>
      </c>
      <c r="C316" s="8" t="s">
        <v>37</v>
      </c>
      <c r="D316" s="8" t="str">
        <f>_xlfn.XLOOKUP(B316,Clientes!A:A,Clientes!G:G,"No encontrado",0)</f>
        <v>AG05</v>
      </c>
      <c r="E316" s="9">
        <v>44938</v>
      </c>
      <c r="F316" s="11">
        <v>117429</v>
      </c>
      <c r="G316" s="10">
        <v>0.1369075579911872</v>
      </c>
      <c r="H316" s="10">
        <f t="shared" si="26"/>
        <v>1.0750029780093762E-2</v>
      </c>
      <c r="I316">
        <v>109</v>
      </c>
      <c r="J316" s="12">
        <f t="shared" si="27"/>
        <v>1834.2114750171781</v>
      </c>
      <c r="K316">
        <f t="shared" ca="1" si="28"/>
        <v>43</v>
      </c>
      <c r="L316">
        <f ca="1">MIN(DATEDIF(Tabla1[[#This Row],[FechaDesembolso]],TODAY(),"m"),Tabla1[[#This Row],[Plazos (Meses)]])</f>
        <v>43</v>
      </c>
      <c r="M316">
        <f t="shared" ca="1" si="29"/>
        <v>66</v>
      </c>
      <c r="N316" s="8" t="s">
        <v>1251</v>
      </c>
      <c r="O316" s="8" t="s">
        <v>1253</v>
      </c>
      <c r="P316" s="13">
        <f t="shared" ca="1" si="31"/>
        <v>117428.99999999999</v>
      </c>
      <c r="Q31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32545.891590876272</v>
      </c>
      <c r="R316" s="8" t="str">
        <f t="shared" ca="1" si="30"/>
        <v>Vigente</v>
      </c>
      <c r="S316" t="str">
        <f ca="1">IF(Tabla1[[#This Row],[En Mora]]="No","",DATEDIF((EDATE(Tabla1[[#This Row],[FechaDesembolso]],Tabla1[[#This Row],[Mes de Mora]])),TODAY(),"d"))</f>
        <v/>
      </c>
    </row>
    <row r="317" spans="1:19" x14ac:dyDescent="0.25">
      <c r="A317" t="s">
        <v>1159</v>
      </c>
      <c r="B317" t="s">
        <v>317</v>
      </c>
      <c r="C317" s="8" t="s">
        <v>31</v>
      </c>
      <c r="D317" s="8" t="str">
        <f>_xlfn.XLOOKUP(B317,Clientes!A:A,Clientes!G:G,"No encontrado",0)</f>
        <v>AG02</v>
      </c>
      <c r="E317" s="9">
        <v>46042</v>
      </c>
      <c r="F317" s="11">
        <v>11640</v>
      </c>
      <c r="G317" s="10">
        <v>0.44927444619556584</v>
      </c>
      <c r="H317" s="10">
        <f t="shared" si="26"/>
        <v>3.1404969438895813E-2</v>
      </c>
      <c r="I317">
        <v>22</v>
      </c>
      <c r="J317" s="12">
        <f t="shared" si="27"/>
        <v>740.69827402335864</v>
      </c>
      <c r="K317">
        <f t="shared" ca="1" si="28"/>
        <v>6</v>
      </c>
      <c r="L317">
        <f ca="1">MIN(DATEDIF(Tabla1[[#This Row],[FechaDesembolso]],TODAY(),"m"),Tabla1[[#This Row],[Plazos (Meses)]])</f>
        <v>6</v>
      </c>
      <c r="M317">
        <f t="shared" ca="1" si="29"/>
        <v>16</v>
      </c>
      <c r="N317" s="8" t="s">
        <v>1251</v>
      </c>
      <c r="O317" s="8" t="s">
        <v>1253</v>
      </c>
      <c r="P317" s="13">
        <f t="shared" ca="1" si="31"/>
        <v>11639.999999999987</v>
      </c>
      <c r="Q31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1269.6441895946971</v>
      </c>
      <c r="R317" s="8" t="str">
        <f t="shared" ca="1" si="30"/>
        <v>Vigente</v>
      </c>
      <c r="S317" t="str">
        <f ca="1">IF(Tabla1[[#This Row],[En Mora]]="No","",DATEDIF((EDATE(Tabla1[[#This Row],[FechaDesembolso]],Tabla1[[#This Row],[Mes de Mora]])),TODAY(),"d"))</f>
        <v/>
      </c>
    </row>
    <row r="318" spans="1:19" x14ac:dyDescent="0.25">
      <c r="A318" t="s">
        <v>1160</v>
      </c>
      <c r="B318" t="s">
        <v>780</v>
      </c>
      <c r="C318" s="8" t="s">
        <v>35</v>
      </c>
      <c r="D318" s="8" t="str">
        <f>_xlfn.XLOOKUP(B318,Clientes!A:A,Clientes!G:G,"No encontrado",0)</f>
        <v>AG02</v>
      </c>
      <c r="E318" s="9">
        <v>45188</v>
      </c>
      <c r="F318" s="11">
        <v>56626</v>
      </c>
      <c r="G318" s="10">
        <v>0.28192095387870142</v>
      </c>
      <c r="H318" s="10">
        <f t="shared" si="26"/>
        <v>2.0912302246030023E-2</v>
      </c>
      <c r="I318">
        <v>14</v>
      </c>
      <c r="J318" s="12">
        <f t="shared" si="27"/>
        <v>4707.5039373739482</v>
      </c>
      <c r="K318">
        <f t="shared" ca="1" si="28"/>
        <v>14</v>
      </c>
      <c r="L318">
        <f ca="1">MIN(DATEDIF(Tabla1[[#This Row],[FechaDesembolso]],TODAY(),"m"),Tabla1[[#This Row],[Plazos (Meses)]])</f>
        <v>14</v>
      </c>
      <c r="M318">
        <f t="shared" ca="1" si="29"/>
        <v>0</v>
      </c>
      <c r="N318" s="8" t="s">
        <v>1251</v>
      </c>
      <c r="O318" s="8" t="s">
        <v>1253</v>
      </c>
      <c r="P318" s="13">
        <f t="shared" ca="1" si="31"/>
        <v>0</v>
      </c>
      <c r="Q31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18" s="8" t="str">
        <f t="shared" ca="1" si="30"/>
        <v>Cancelado</v>
      </c>
      <c r="S318" t="str">
        <f ca="1">IF(Tabla1[[#This Row],[En Mora]]="No","",DATEDIF((EDATE(Tabla1[[#This Row],[FechaDesembolso]],Tabla1[[#This Row],[Mes de Mora]])),TODAY(),"d"))</f>
        <v/>
      </c>
    </row>
    <row r="319" spans="1:19" x14ac:dyDescent="0.25">
      <c r="A319" t="s">
        <v>1161</v>
      </c>
      <c r="B319" t="s">
        <v>834</v>
      </c>
      <c r="C319" s="8" t="s">
        <v>39</v>
      </c>
      <c r="D319" s="8" t="str">
        <f>_xlfn.XLOOKUP(B319,Clientes!A:A,Clientes!G:G,"No encontrado",0)</f>
        <v>AG04</v>
      </c>
      <c r="E319" s="9">
        <v>44803</v>
      </c>
      <c r="F319" s="11">
        <v>18140</v>
      </c>
      <c r="G319" s="10">
        <v>0.36354204748335017</v>
      </c>
      <c r="H319" s="10">
        <f t="shared" si="26"/>
        <v>2.6177239685784004E-2</v>
      </c>
      <c r="I319">
        <v>23</v>
      </c>
      <c r="J319" s="12">
        <f t="shared" si="27"/>
        <v>1059.7828220526987</v>
      </c>
      <c r="K319">
        <f t="shared" ca="1" si="28"/>
        <v>23</v>
      </c>
      <c r="L319">
        <f ca="1">MIN(DATEDIF(Tabla1[[#This Row],[FechaDesembolso]],TODAY(),"m"),Tabla1[[#This Row],[Plazos (Meses)]])</f>
        <v>23</v>
      </c>
      <c r="M319">
        <f t="shared" ca="1" si="29"/>
        <v>0</v>
      </c>
      <c r="N319" s="8" t="s">
        <v>1251</v>
      </c>
      <c r="O319" s="8" t="s">
        <v>1253</v>
      </c>
      <c r="P319" s="13">
        <f t="shared" ca="1" si="31"/>
        <v>0</v>
      </c>
      <c r="Q31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19" s="8" t="str">
        <f t="shared" ca="1" si="30"/>
        <v>Cancelado</v>
      </c>
      <c r="S319" t="str">
        <f ca="1">IF(Tabla1[[#This Row],[En Mora]]="No","",DATEDIF((EDATE(Tabla1[[#This Row],[FechaDesembolso]],Tabla1[[#This Row],[Mes de Mora]])),TODAY(),"d"))</f>
        <v/>
      </c>
    </row>
    <row r="320" spans="1:19" x14ac:dyDescent="0.25">
      <c r="A320" t="s">
        <v>1162</v>
      </c>
      <c r="B320" t="s">
        <v>741</v>
      </c>
      <c r="C320" s="8" t="s">
        <v>33</v>
      </c>
      <c r="D320" s="8" t="str">
        <f>_xlfn.XLOOKUP(B320,Clientes!A:A,Clientes!G:G,"No encontrado",0)</f>
        <v>AG04</v>
      </c>
      <c r="E320" s="9">
        <v>45633</v>
      </c>
      <c r="F320" s="11">
        <v>46179</v>
      </c>
      <c r="G320" s="10">
        <v>0.41372741503208565</v>
      </c>
      <c r="H320" s="10">
        <f t="shared" si="26"/>
        <v>2.9272746083283785E-2</v>
      </c>
      <c r="I320">
        <v>17</v>
      </c>
      <c r="J320" s="12">
        <f t="shared" si="27"/>
        <v>3486.9051547537842</v>
      </c>
      <c r="K320">
        <f t="shared" ca="1" si="28"/>
        <v>4</v>
      </c>
      <c r="L320">
        <f ca="1">MIN(DATEDIF(Tabla1[[#This Row],[FechaDesembolso]],TODAY(),"m"),Tabla1[[#This Row],[Plazos (Meses)]])</f>
        <v>17</v>
      </c>
      <c r="M320">
        <f t="shared" ca="1" si="29"/>
        <v>13</v>
      </c>
      <c r="N320" s="8" t="s">
        <v>1252</v>
      </c>
      <c r="O320" s="8">
        <v>4</v>
      </c>
      <c r="P320" s="13">
        <f t="shared" ca="1" si="31"/>
        <v>46179.000000000036</v>
      </c>
      <c r="Q32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3081.9735601916068</v>
      </c>
      <c r="R320" s="8" t="str">
        <f t="shared" si="30"/>
        <v>En mora</v>
      </c>
      <c r="S320">
        <f ca="1">IF(Tabla1[[#This Row],[En Mora]]="No","",DATEDIF((EDATE(Tabla1[[#This Row],[FechaDesembolso]],Tabla1[[#This Row],[Mes de Mora]])),TODAY(),"d"))</f>
        <v>492</v>
      </c>
    </row>
    <row r="321" spans="1:19" x14ac:dyDescent="0.25">
      <c r="A321" t="s">
        <v>1163</v>
      </c>
      <c r="B321" t="s">
        <v>189</v>
      </c>
      <c r="C321" s="8" t="s">
        <v>37</v>
      </c>
      <c r="D321" s="8" t="str">
        <f>_xlfn.XLOOKUP(B321,Clientes!A:A,Clientes!G:G,"No encontrado",0)</f>
        <v>AG03</v>
      </c>
      <c r="E321" s="9">
        <v>46086</v>
      </c>
      <c r="F321" s="11">
        <v>196630</v>
      </c>
      <c r="G321" s="10">
        <v>0.1383462657835049</v>
      </c>
      <c r="H321" s="10">
        <f t="shared" si="26"/>
        <v>1.085655641253358E-2</v>
      </c>
      <c r="I321">
        <v>77</v>
      </c>
      <c r="J321" s="12">
        <f t="shared" si="27"/>
        <v>3781.0686666563643</v>
      </c>
      <c r="K321">
        <f t="shared" ca="1" si="28"/>
        <v>5</v>
      </c>
      <c r="L321">
        <f ca="1">MIN(DATEDIF(Tabla1[[#This Row],[FechaDesembolso]],TODAY(),"m"),Tabla1[[#This Row],[Plazos (Meses)]])</f>
        <v>5</v>
      </c>
      <c r="M321">
        <f t="shared" ca="1" si="29"/>
        <v>72</v>
      </c>
      <c r="N321" s="8" t="s">
        <v>1251</v>
      </c>
      <c r="O321" s="8" t="s">
        <v>1253</v>
      </c>
      <c r="P321" s="13">
        <f t="shared" ca="1" si="31"/>
        <v>196629.99999999959</v>
      </c>
      <c r="Q32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6137.1615151000015</v>
      </c>
      <c r="R321" s="8" t="str">
        <f t="shared" ca="1" si="30"/>
        <v>Vigente</v>
      </c>
      <c r="S321" t="str">
        <f ca="1">IF(Tabla1[[#This Row],[En Mora]]="No","",DATEDIF((EDATE(Tabla1[[#This Row],[FechaDesembolso]],Tabla1[[#This Row],[Mes de Mora]])),TODAY(),"d"))</f>
        <v/>
      </c>
    </row>
    <row r="322" spans="1:19" x14ac:dyDescent="0.25">
      <c r="A322" t="s">
        <v>1164</v>
      </c>
      <c r="B322" t="s">
        <v>678</v>
      </c>
      <c r="C322" s="8" t="s">
        <v>31</v>
      </c>
      <c r="D322" s="8" t="str">
        <f>_xlfn.XLOOKUP(B322,Clientes!A:A,Clientes!G:G,"No encontrado",0)</f>
        <v>AG05</v>
      </c>
      <c r="E322" s="9">
        <v>45854</v>
      </c>
      <c r="F322" s="11">
        <v>8553</v>
      </c>
      <c r="G322" s="10">
        <v>0.38164776430643416</v>
      </c>
      <c r="H322" s="10">
        <f t="shared" si="26"/>
        <v>2.730589022162988E-2</v>
      </c>
      <c r="I322">
        <v>20</v>
      </c>
      <c r="J322" s="12">
        <f t="shared" si="27"/>
        <v>560.67188866543449</v>
      </c>
      <c r="K322">
        <f t="shared" ca="1" si="28"/>
        <v>12</v>
      </c>
      <c r="L322">
        <f ca="1">MIN(DATEDIF(Tabla1[[#This Row],[FechaDesembolso]],TODAY(),"m"),Tabla1[[#This Row],[Plazos (Meses)]])</f>
        <v>12</v>
      </c>
      <c r="M322">
        <f t="shared" ca="1" si="29"/>
        <v>8</v>
      </c>
      <c r="N322" s="8" t="s">
        <v>1251</v>
      </c>
      <c r="O322" s="8" t="s">
        <v>1253</v>
      </c>
      <c r="P322" s="13">
        <f t="shared" ca="1" si="31"/>
        <v>8553.0000000000036</v>
      </c>
      <c r="Q32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1596.2626639852135</v>
      </c>
      <c r="R322" s="8" t="str">
        <f t="shared" ca="1" si="30"/>
        <v>Vigente</v>
      </c>
      <c r="S322" t="str">
        <f ca="1">IF(Tabla1[[#This Row],[En Mora]]="No","",DATEDIF((EDATE(Tabla1[[#This Row],[FechaDesembolso]],Tabla1[[#This Row],[Mes de Mora]])),TODAY(),"d"))</f>
        <v/>
      </c>
    </row>
    <row r="323" spans="1:19" x14ac:dyDescent="0.25">
      <c r="A323" t="s">
        <v>1165</v>
      </c>
      <c r="B323" t="s">
        <v>248</v>
      </c>
      <c r="C323" s="8" t="s">
        <v>39</v>
      </c>
      <c r="D323" s="8" t="str">
        <f>_xlfn.XLOOKUP(B323,Clientes!A:A,Clientes!G:G,"No encontrado",0)</f>
        <v>AG05</v>
      </c>
      <c r="E323" s="9">
        <v>45468</v>
      </c>
      <c r="F323" s="11">
        <v>5188</v>
      </c>
      <c r="G323" s="10">
        <v>0.25413468220642688</v>
      </c>
      <c r="H323" s="10">
        <f t="shared" ref="H323:H386" si="32">(1+G323)^(1/12)-1</f>
        <v>1.9049659426669363E-2</v>
      </c>
      <c r="I323">
        <v>17</v>
      </c>
      <c r="J323" s="12">
        <f t="shared" ref="J323:J386" si="33">PMT(H323,I323,-F323,,)</f>
        <v>360.12640990440582</v>
      </c>
      <c r="K323">
        <f t="shared" ref="K323:K386" ca="1" si="34">IF(N323="SI",O323,MIN(DATEDIF(E323,TODAY(),"m"),I323))</f>
        <v>17</v>
      </c>
      <c r="L323">
        <f ca="1">MIN(DATEDIF(Tabla1[[#This Row],[FechaDesembolso]],TODAY(),"m"),Tabla1[[#This Row],[Plazos (Meses)]])</f>
        <v>17</v>
      </c>
      <c r="M323">
        <f t="shared" ref="M323:M386" ca="1" si="35">I323-K323</f>
        <v>0</v>
      </c>
      <c r="N323" s="8" t="s">
        <v>1251</v>
      </c>
      <c r="O323" s="8" t="s">
        <v>1253</v>
      </c>
      <c r="P323" s="13">
        <f t="shared" ca="1" si="31"/>
        <v>0</v>
      </c>
      <c r="Q32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23" s="8" t="str">
        <f t="shared" ref="R323:R386" ca="1" si="36">IF(N323="SI","En mora",IF(K323&gt;=I323,"Cancelado","Vigente"))</f>
        <v>Cancelado</v>
      </c>
      <c r="S323" t="str">
        <f ca="1">IF(Tabla1[[#This Row],[En Mora]]="No","",DATEDIF((EDATE(Tabla1[[#This Row],[FechaDesembolso]],Tabla1[[#This Row],[Mes de Mora]])),TODAY(),"d"))</f>
        <v/>
      </c>
    </row>
    <row r="324" spans="1:19" x14ac:dyDescent="0.25">
      <c r="A324" t="s">
        <v>1166</v>
      </c>
      <c r="B324" t="s">
        <v>636</v>
      </c>
      <c r="C324" s="8" t="s">
        <v>37</v>
      </c>
      <c r="D324" s="8" t="str">
        <f>_xlfn.XLOOKUP(B324,Clientes!A:A,Clientes!G:G,"No encontrado",0)</f>
        <v>AG07</v>
      </c>
      <c r="E324" s="9">
        <v>46009</v>
      </c>
      <c r="F324" s="11">
        <v>210503</v>
      </c>
      <c r="G324" s="10">
        <v>0.12456008319272227</v>
      </c>
      <c r="H324" s="10">
        <f t="shared" si="32"/>
        <v>9.8306668047687396E-3</v>
      </c>
      <c r="I324">
        <v>229</v>
      </c>
      <c r="J324" s="12">
        <f t="shared" si="33"/>
        <v>2315.87270244089</v>
      </c>
      <c r="K324">
        <f t="shared" ca="1" si="34"/>
        <v>7</v>
      </c>
      <c r="L324">
        <f ca="1">MIN(DATEDIF(Tabla1[[#This Row],[FechaDesembolso]],TODAY(),"m"),Tabla1[[#This Row],[Plazos (Meses)]])</f>
        <v>7</v>
      </c>
      <c r="M324">
        <f t="shared" ca="1" si="35"/>
        <v>222</v>
      </c>
      <c r="N324" s="8" t="s">
        <v>1251</v>
      </c>
      <c r="O324" s="8" t="s">
        <v>1253</v>
      </c>
      <c r="P324" s="13">
        <f t="shared" ca="1" si="31"/>
        <v>210502.9999999998</v>
      </c>
      <c r="Q32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9776.5193974355752</v>
      </c>
      <c r="R324" s="8" t="str">
        <f t="shared" ca="1" si="36"/>
        <v>Vigente</v>
      </c>
      <c r="S324" t="str">
        <f ca="1">IF(Tabla1[[#This Row],[En Mora]]="No","",DATEDIF((EDATE(Tabla1[[#This Row],[FechaDesembolso]],Tabla1[[#This Row],[Mes de Mora]])),TODAY(),"d"))</f>
        <v/>
      </c>
    </row>
    <row r="325" spans="1:19" x14ac:dyDescent="0.25">
      <c r="A325" t="s">
        <v>1167</v>
      </c>
      <c r="B325" t="s">
        <v>222</v>
      </c>
      <c r="C325" s="8" t="s">
        <v>35</v>
      </c>
      <c r="D325" s="8" t="str">
        <f>_xlfn.XLOOKUP(B325,Clientes!A:A,Clientes!G:G,"No encontrado",0)</f>
        <v>AG02</v>
      </c>
      <c r="E325" s="9">
        <v>46181</v>
      </c>
      <c r="F325" s="11">
        <v>65453</v>
      </c>
      <c r="G325" s="10">
        <v>0.217402496815011</v>
      </c>
      <c r="H325" s="10">
        <f t="shared" si="32"/>
        <v>1.6528397932013439E-2</v>
      </c>
      <c r="I325">
        <v>47</v>
      </c>
      <c r="J325" s="12">
        <f t="shared" si="33"/>
        <v>2013.7946955669611</v>
      </c>
      <c r="K325">
        <f t="shared" ca="1" si="34"/>
        <v>1</v>
      </c>
      <c r="L325">
        <f ca="1">MIN(DATEDIF(Tabla1[[#This Row],[FechaDesembolso]],TODAY(),"m"),Tabla1[[#This Row],[Plazos (Meses)]])</f>
        <v>2</v>
      </c>
      <c r="M325">
        <f t="shared" ca="1" si="35"/>
        <v>46</v>
      </c>
      <c r="N325" s="8" t="s">
        <v>1252</v>
      </c>
      <c r="O325" s="8">
        <v>1</v>
      </c>
      <c r="P325" s="13">
        <f t="shared" ref="P325:P388" ca="1" si="37">IF(M325=0,0,PV(H325,I325,-J325))</f>
        <v>65452.999999999927</v>
      </c>
      <c r="Q32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621.17767429036519</v>
      </c>
      <c r="R325" s="8" t="str">
        <f t="shared" si="36"/>
        <v>En mora</v>
      </c>
      <c r="S325">
        <f ca="1">IF(Tabla1[[#This Row],[En Mora]]="No","",DATEDIF((EDATE(Tabla1[[#This Row],[FechaDesembolso]],Tabla1[[#This Row],[Mes de Mora]])),TODAY(),"d"))</f>
        <v>35</v>
      </c>
    </row>
    <row r="326" spans="1:19" x14ac:dyDescent="0.25">
      <c r="A326" t="s">
        <v>1168</v>
      </c>
      <c r="B326" t="s">
        <v>204</v>
      </c>
      <c r="C326" s="8" t="s">
        <v>39</v>
      </c>
      <c r="D326" s="8" t="str">
        <f>_xlfn.XLOOKUP(B326,Clientes!A:A,Clientes!G:G,"No encontrado",0)</f>
        <v>AG02</v>
      </c>
      <c r="E326" s="9">
        <v>45574</v>
      </c>
      <c r="F326" s="11">
        <v>10909</v>
      </c>
      <c r="G326" s="10">
        <v>0.32541357050591335</v>
      </c>
      <c r="H326" s="10">
        <f t="shared" si="32"/>
        <v>2.3754800135971754E-2</v>
      </c>
      <c r="I326">
        <v>21</v>
      </c>
      <c r="J326" s="12">
        <f t="shared" si="33"/>
        <v>665.79651740484246</v>
      </c>
      <c r="K326">
        <f t="shared" ca="1" si="34"/>
        <v>14</v>
      </c>
      <c r="L326">
        <f ca="1">MIN(DATEDIF(Tabla1[[#This Row],[FechaDesembolso]],TODAY(),"m"),Tabla1[[#This Row],[Plazos (Meses)]])</f>
        <v>21</v>
      </c>
      <c r="M326">
        <f t="shared" ca="1" si="35"/>
        <v>7</v>
      </c>
      <c r="N326" s="8" t="s">
        <v>1252</v>
      </c>
      <c r="O326" s="8">
        <v>14</v>
      </c>
      <c r="P326" s="13">
        <f t="shared" ca="1" si="37"/>
        <v>10909.000000000018</v>
      </c>
      <c r="Q32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2048.4845770011279</v>
      </c>
      <c r="R326" s="8" t="str">
        <f t="shared" si="36"/>
        <v>En mora</v>
      </c>
      <c r="S326">
        <f ca="1">IF(Tabla1[[#This Row],[En Mora]]="No","",DATEDIF((EDATE(Tabla1[[#This Row],[FechaDesembolso]],Tabla1[[#This Row],[Mes de Mora]])),TODAY(),"d"))</f>
        <v>246</v>
      </c>
    </row>
    <row r="327" spans="1:19" x14ac:dyDescent="0.25">
      <c r="A327" t="s">
        <v>1169</v>
      </c>
      <c r="B327" t="s">
        <v>377</v>
      </c>
      <c r="C327" s="8" t="s">
        <v>35</v>
      </c>
      <c r="D327" s="8" t="str">
        <f>_xlfn.XLOOKUP(B327,Clientes!A:A,Clientes!G:G,"No encontrado",0)</f>
        <v>AG08</v>
      </c>
      <c r="E327" s="9">
        <v>45499</v>
      </c>
      <c r="F327" s="11">
        <v>98741</v>
      </c>
      <c r="G327" s="10">
        <v>0.22850711109294525</v>
      </c>
      <c r="H327" s="10">
        <f t="shared" si="32"/>
        <v>1.7297880253096531E-2</v>
      </c>
      <c r="I327">
        <v>59</v>
      </c>
      <c r="J327" s="12">
        <f t="shared" si="33"/>
        <v>2683.6360248514388</v>
      </c>
      <c r="K327">
        <f t="shared" ca="1" si="34"/>
        <v>3</v>
      </c>
      <c r="L327">
        <f ca="1">MIN(DATEDIF(Tabla1[[#This Row],[FechaDesembolso]],TODAY(),"m"),Tabla1[[#This Row],[Plazos (Meses)]])</f>
        <v>24</v>
      </c>
      <c r="M327">
        <f t="shared" ca="1" si="35"/>
        <v>56</v>
      </c>
      <c r="N327" s="8" t="s">
        <v>1252</v>
      </c>
      <c r="O327" s="8">
        <v>3</v>
      </c>
      <c r="P327" s="13">
        <f t="shared" ca="1" si="37"/>
        <v>98741.000000000044</v>
      </c>
      <c r="Q32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3030.1792609949944</v>
      </c>
      <c r="R327" s="8" t="str">
        <f t="shared" si="36"/>
        <v>En mora</v>
      </c>
      <c r="S327">
        <f ca="1">IF(Tabla1[[#This Row],[En Mora]]="No","",DATEDIF((EDATE(Tabla1[[#This Row],[FechaDesembolso]],Tabla1[[#This Row],[Mes de Mora]])),TODAY(),"d"))</f>
        <v>655</v>
      </c>
    </row>
    <row r="328" spans="1:19" x14ac:dyDescent="0.25">
      <c r="A328" t="s">
        <v>1170</v>
      </c>
      <c r="B328" t="s">
        <v>137</v>
      </c>
      <c r="C328" s="8" t="s">
        <v>35</v>
      </c>
      <c r="D328" s="8" t="str">
        <f>_xlfn.XLOOKUP(B328,Clientes!A:A,Clientes!G:G,"No encontrado",0)</f>
        <v>AG07</v>
      </c>
      <c r="E328" s="9">
        <v>46176</v>
      </c>
      <c r="F328" s="11">
        <v>75314</v>
      </c>
      <c r="G328" s="10">
        <v>0.33402249562699993</v>
      </c>
      <c r="H328" s="10">
        <f t="shared" si="32"/>
        <v>2.4307288015655848E-2</v>
      </c>
      <c r="I328">
        <v>57</v>
      </c>
      <c r="J328" s="12">
        <f t="shared" si="33"/>
        <v>2455.2287633143887</v>
      </c>
      <c r="K328">
        <f t="shared" ca="1" si="34"/>
        <v>2</v>
      </c>
      <c r="L328">
        <f ca="1">MIN(DATEDIF(Tabla1[[#This Row],[FechaDesembolso]],TODAY(),"m"),Tabla1[[#This Row],[Plazos (Meses)]])</f>
        <v>2</v>
      </c>
      <c r="M328">
        <f t="shared" ca="1" si="35"/>
        <v>55</v>
      </c>
      <c r="N328" s="8" t="s">
        <v>1251</v>
      </c>
      <c r="O328" s="8" t="s">
        <v>1253</v>
      </c>
      <c r="P328" s="13">
        <f t="shared" ca="1" si="37"/>
        <v>75314.000000000102</v>
      </c>
      <c r="Q32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2267.8610354007074</v>
      </c>
      <c r="R328" s="8" t="str">
        <f t="shared" ca="1" si="36"/>
        <v>Vigente</v>
      </c>
      <c r="S328" t="str">
        <f ca="1">IF(Tabla1[[#This Row],[En Mora]]="No","",DATEDIF((EDATE(Tabla1[[#This Row],[FechaDesembolso]],Tabla1[[#This Row],[Mes de Mora]])),TODAY(),"d"))</f>
        <v/>
      </c>
    </row>
    <row r="329" spans="1:19" x14ac:dyDescent="0.25">
      <c r="A329" t="s">
        <v>1171</v>
      </c>
      <c r="B329" t="s">
        <v>344</v>
      </c>
      <c r="C329" s="8" t="s">
        <v>33</v>
      </c>
      <c r="D329" s="8" t="str">
        <f>_xlfn.XLOOKUP(B329,Clientes!A:A,Clientes!G:G,"No encontrado",0)</f>
        <v>AG04</v>
      </c>
      <c r="E329" s="9">
        <v>46146</v>
      </c>
      <c r="F329" s="11">
        <v>6579</v>
      </c>
      <c r="G329" s="10">
        <v>0.449586518687492</v>
      </c>
      <c r="H329" s="10">
        <f t="shared" si="32"/>
        <v>3.1423475328606898E-2</v>
      </c>
      <c r="I329">
        <v>13</v>
      </c>
      <c r="J329" s="12">
        <f t="shared" si="33"/>
        <v>624.26556266231216</v>
      </c>
      <c r="K329">
        <f t="shared" ca="1" si="34"/>
        <v>3</v>
      </c>
      <c r="L329">
        <f ca="1">MIN(DATEDIF(Tabla1[[#This Row],[FechaDesembolso]],TODAY(),"m"),Tabla1[[#This Row],[Plazos (Meses)]])</f>
        <v>3</v>
      </c>
      <c r="M329">
        <f t="shared" ca="1" si="35"/>
        <v>10</v>
      </c>
      <c r="N329" s="8" t="s">
        <v>1251</v>
      </c>
      <c r="O329" s="8" t="s">
        <v>1253</v>
      </c>
      <c r="P329" s="13">
        <f t="shared" ca="1" si="37"/>
        <v>6579.0000000000036</v>
      </c>
      <c r="Q32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354.56591875616732</v>
      </c>
      <c r="R329" s="8" t="str">
        <f t="shared" ca="1" si="36"/>
        <v>Vigente</v>
      </c>
      <c r="S329" t="str">
        <f ca="1">IF(Tabla1[[#This Row],[En Mora]]="No","",DATEDIF((EDATE(Tabla1[[#This Row],[FechaDesembolso]],Tabla1[[#This Row],[Mes de Mora]])),TODAY(),"d"))</f>
        <v/>
      </c>
    </row>
    <row r="330" spans="1:19" x14ac:dyDescent="0.25">
      <c r="A330" t="s">
        <v>1172</v>
      </c>
      <c r="B330" t="s">
        <v>651</v>
      </c>
      <c r="C330" s="8" t="s">
        <v>35</v>
      </c>
      <c r="D330" s="8" t="str">
        <f>_xlfn.XLOOKUP(B330,Clientes!A:A,Clientes!G:G,"No encontrado",0)</f>
        <v>AG03</v>
      </c>
      <c r="E330" s="9">
        <v>46045</v>
      </c>
      <c r="F330" s="11">
        <v>56060</v>
      </c>
      <c r="G330" s="10">
        <v>0.27735820731171401</v>
      </c>
      <c r="H330" s="10">
        <f t="shared" si="32"/>
        <v>2.060899567975949E-2</v>
      </c>
      <c r="I330">
        <v>34</v>
      </c>
      <c r="J330" s="12">
        <f t="shared" si="33"/>
        <v>2309.673922291945</v>
      </c>
      <c r="K330">
        <f t="shared" ca="1" si="34"/>
        <v>6</v>
      </c>
      <c r="L330">
        <f ca="1">MIN(DATEDIF(Tabla1[[#This Row],[FechaDesembolso]],TODAY(),"m"),Tabla1[[#This Row],[Plazos (Meses)]])</f>
        <v>6</v>
      </c>
      <c r="M330">
        <f t="shared" ca="1" si="35"/>
        <v>28</v>
      </c>
      <c r="N330" s="8" t="s">
        <v>1251</v>
      </c>
      <c r="O330" s="8" t="s">
        <v>1253</v>
      </c>
      <c r="P330" s="13">
        <f t="shared" ca="1" si="37"/>
        <v>56060.000000000007</v>
      </c>
      <c r="Q33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3965.1023572810814</v>
      </c>
      <c r="R330" s="8" t="str">
        <f t="shared" ca="1" si="36"/>
        <v>Vigente</v>
      </c>
      <c r="S330" t="str">
        <f ca="1">IF(Tabla1[[#This Row],[En Mora]]="No","",DATEDIF((EDATE(Tabla1[[#This Row],[FechaDesembolso]],Tabla1[[#This Row],[Mes de Mora]])),TODAY(),"d"))</f>
        <v/>
      </c>
    </row>
    <row r="331" spans="1:19" x14ac:dyDescent="0.25">
      <c r="A331" t="s">
        <v>1173</v>
      </c>
      <c r="B331" t="s">
        <v>684</v>
      </c>
      <c r="C331" s="8" t="s">
        <v>33</v>
      </c>
      <c r="D331" s="8" t="str">
        <f>_xlfn.XLOOKUP(B331,Clientes!A:A,Clientes!G:G,"No encontrado",0)</f>
        <v>AG01</v>
      </c>
      <c r="E331" s="9">
        <v>44721</v>
      </c>
      <c r="F331" s="11">
        <v>46373</v>
      </c>
      <c r="G331" s="10">
        <v>0.41935513705339722</v>
      </c>
      <c r="H331" s="10">
        <f t="shared" si="32"/>
        <v>2.9613566101757138E-2</v>
      </c>
      <c r="I331">
        <v>31</v>
      </c>
      <c r="J331" s="12">
        <f t="shared" si="33"/>
        <v>2306.7266210932157</v>
      </c>
      <c r="K331">
        <f t="shared" ca="1" si="34"/>
        <v>31</v>
      </c>
      <c r="L331">
        <f ca="1">MIN(DATEDIF(Tabla1[[#This Row],[FechaDesembolso]],TODAY(),"m"),Tabla1[[#This Row],[Plazos (Meses)]])</f>
        <v>31</v>
      </c>
      <c r="M331">
        <f t="shared" ca="1" si="35"/>
        <v>0</v>
      </c>
      <c r="N331" s="8" t="s">
        <v>1251</v>
      </c>
      <c r="O331" s="8" t="s">
        <v>1253</v>
      </c>
      <c r="P331" s="13">
        <f t="shared" ca="1" si="37"/>
        <v>0</v>
      </c>
      <c r="Q33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31" s="8" t="str">
        <f t="shared" ca="1" si="36"/>
        <v>Cancelado</v>
      </c>
      <c r="S331" t="str">
        <f ca="1">IF(Tabla1[[#This Row],[En Mora]]="No","",DATEDIF((EDATE(Tabla1[[#This Row],[FechaDesembolso]],Tabla1[[#This Row],[Mes de Mora]])),TODAY(),"d"))</f>
        <v/>
      </c>
    </row>
    <row r="332" spans="1:19" x14ac:dyDescent="0.25">
      <c r="A332" t="s">
        <v>1174</v>
      </c>
      <c r="B332" t="s">
        <v>618</v>
      </c>
      <c r="C332" s="8" t="s">
        <v>31</v>
      </c>
      <c r="D332" s="8" t="str">
        <f>_xlfn.XLOOKUP(B332,Clientes!A:A,Clientes!G:G,"No encontrado",0)</f>
        <v>AG01</v>
      </c>
      <c r="E332" s="9">
        <v>46155</v>
      </c>
      <c r="F332" s="11">
        <v>4232</v>
      </c>
      <c r="G332" s="10">
        <v>0.39567158757573245</v>
      </c>
      <c r="H332" s="10">
        <f t="shared" si="32"/>
        <v>2.8170809519888707E-2</v>
      </c>
      <c r="I332">
        <v>27</v>
      </c>
      <c r="J332" s="12">
        <f t="shared" si="33"/>
        <v>225.93087660854854</v>
      </c>
      <c r="K332">
        <f t="shared" ca="1" si="34"/>
        <v>1</v>
      </c>
      <c r="L332">
        <f ca="1">MIN(DATEDIF(Tabla1[[#This Row],[FechaDesembolso]],TODAY(),"m"),Tabla1[[#This Row],[Plazos (Meses)]])</f>
        <v>2</v>
      </c>
      <c r="M332">
        <f t="shared" ca="1" si="35"/>
        <v>26</v>
      </c>
      <c r="N332" s="8" t="s">
        <v>1252</v>
      </c>
      <c r="O332" s="8">
        <v>1</v>
      </c>
      <c r="P332" s="13">
        <f t="shared" ca="1" si="37"/>
        <v>4231.9999999999991</v>
      </c>
      <c r="Q33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69.190135867807797</v>
      </c>
      <c r="R332" s="8" t="str">
        <f t="shared" si="36"/>
        <v>En mora</v>
      </c>
      <c r="S332">
        <f ca="1">IF(Tabla1[[#This Row],[En Mora]]="No","",DATEDIF((EDATE(Tabla1[[#This Row],[FechaDesembolso]],Tabla1[[#This Row],[Mes de Mora]])),TODAY(),"d"))</f>
        <v>60</v>
      </c>
    </row>
    <row r="333" spans="1:19" x14ac:dyDescent="0.25">
      <c r="A333" t="s">
        <v>1175</v>
      </c>
      <c r="B333" t="s">
        <v>204</v>
      </c>
      <c r="C333" s="8" t="s">
        <v>35</v>
      </c>
      <c r="D333" s="8" t="str">
        <f>_xlfn.XLOOKUP(B333,Clientes!A:A,Clientes!G:G,"No encontrado",0)</f>
        <v>AG02</v>
      </c>
      <c r="E333" s="9">
        <v>46112</v>
      </c>
      <c r="F333" s="11">
        <v>72220</v>
      </c>
      <c r="G333" s="10">
        <v>0.25795610514633444</v>
      </c>
      <c r="H333" s="10">
        <f t="shared" si="32"/>
        <v>1.9308057495758257E-2</v>
      </c>
      <c r="I333">
        <v>52</v>
      </c>
      <c r="J333" s="12">
        <f t="shared" si="33"/>
        <v>2213.1217710798405</v>
      </c>
      <c r="K333">
        <f t="shared" ca="1" si="34"/>
        <v>2</v>
      </c>
      <c r="L333">
        <f ca="1">MIN(DATEDIF(Tabla1[[#This Row],[FechaDesembolso]],TODAY(),"m"),Tabla1[[#This Row],[Plazos (Meses)]])</f>
        <v>4</v>
      </c>
      <c r="M333">
        <f t="shared" ca="1" si="35"/>
        <v>50</v>
      </c>
      <c r="N333" s="8" t="s">
        <v>1252</v>
      </c>
      <c r="O333" s="8">
        <v>2</v>
      </c>
      <c r="P333" s="13">
        <f t="shared" ca="1" si="37"/>
        <v>72219.999999999956</v>
      </c>
      <c r="Q33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1648.5512344673732</v>
      </c>
      <c r="R333" s="8" t="str">
        <f t="shared" si="36"/>
        <v>En mora</v>
      </c>
      <c r="S333">
        <f ca="1">IF(Tabla1[[#This Row],[En Mora]]="No","",DATEDIF((EDATE(Tabla1[[#This Row],[FechaDesembolso]],Tabla1[[#This Row],[Mes de Mora]])),TODAY(),"d"))</f>
        <v>73</v>
      </c>
    </row>
    <row r="334" spans="1:19" x14ac:dyDescent="0.25">
      <c r="A334" t="s">
        <v>1176</v>
      </c>
      <c r="B334" t="s">
        <v>549</v>
      </c>
      <c r="C334" s="8" t="s">
        <v>33</v>
      </c>
      <c r="D334" s="8" t="str">
        <f>_xlfn.XLOOKUP(B334,Clientes!A:A,Clientes!G:G,"No encontrado",0)</f>
        <v>AG05</v>
      </c>
      <c r="E334" s="9">
        <v>44827</v>
      </c>
      <c r="F334" s="11">
        <v>37100</v>
      </c>
      <c r="G334" s="10">
        <v>0.36125224139647572</v>
      </c>
      <c r="H334" s="10">
        <f t="shared" si="32"/>
        <v>2.6033523460590846E-2</v>
      </c>
      <c r="I334">
        <v>22</v>
      </c>
      <c r="J334" s="12">
        <f t="shared" si="33"/>
        <v>2236.4099050230916</v>
      </c>
      <c r="K334">
        <f t="shared" ca="1" si="34"/>
        <v>22</v>
      </c>
      <c r="L334">
        <f ca="1">MIN(DATEDIF(Tabla1[[#This Row],[FechaDesembolso]],TODAY(),"m"),Tabla1[[#This Row],[Plazos (Meses)]])</f>
        <v>22</v>
      </c>
      <c r="M334">
        <f t="shared" ca="1" si="35"/>
        <v>0</v>
      </c>
      <c r="N334" s="8" t="s">
        <v>1251</v>
      </c>
      <c r="O334" s="8" t="s">
        <v>1253</v>
      </c>
      <c r="P334" s="13">
        <f t="shared" ca="1" si="37"/>
        <v>0</v>
      </c>
      <c r="Q33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34" s="8" t="str">
        <f t="shared" ca="1" si="36"/>
        <v>Cancelado</v>
      </c>
      <c r="S334" t="str">
        <f ca="1">IF(Tabla1[[#This Row],[En Mora]]="No","",DATEDIF((EDATE(Tabla1[[#This Row],[FechaDesembolso]],Tabla1[[#This Row],[Mes de Mora]])),TODAY(),"d"))</f>
        <v/>
      </c>
    </row>
    <row r="335" spans="1:19" x14ac:dyDescent="0.25">
      <c r="A335" t="s">
        <v>1177</v>
      </c>
      <c r="B335" t="s">
        <v>711</v>
      </c>
      <c r="C335" s="8" t="s">
        <v>31</v>
      </c>
      <c r="D335" s="8" t="str">
        <f>_xlfn.XLOOKUP(B335,Clientes!A:A,Clientes!G:G,"No encontrado",0)</f>
        <v>AG08</v>
      </c>
      <c r="E335" s="9">
        <v>45734</v>
      </c>
      <c r="F335" s="11">
        <v>13299</v>
      </c>
      <c r="G335" s="10">
        <v>0.54423235575475293</v>
      </c>
      <c r="H335" s="10">
        <f t="shared" si="32"/>
        <v>3.6874165852351704E-2</v>
      </c>
      <c r="I335">
        <v>16</v>
      </c>
      <c r="J335" s="12">
        <f t="shared" si="33"/>
        <v>1115.1594317990937</v>
      </c>
      <c r="K335">
        <f t="shared" ca="1" si="34"/>
        <v>16</v>
      </c>
      <c r="L335">
        <f ca="1">MIN(DATEDIF(Tabla1[[#This Row],[FechaDesembolso]],TODAY(),"m"),Tabla1[[#This Row],[Plazos (Meses)]])</f>
        <v>16</v>
      </c>
      <c r="M335">
        <f t="shared" ca="1" si="35"/>
        <v>0</v>
      </c>
      <c r="N335" s="8" t="s">
        <v>1251</v>
      </c>
      <c r="O335" s="8" t="s">
        <v>1253</v>
      </c>
      <c r="P335" s="13">
        <f t="shared" ca="1" si="37"/>
        <v>0</v>
      </c>
      <c r="Q33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35" s="8" t="str">
        <f t="shared" ca="1" si="36"/>
        <v>Cancelado</v>
      </c>
      <c r="S335" t="str">
        <f ca="1">IF(Tabla1[[#This Row],[En Mora]]="No","",DATEDIF((EDATE(Tabla1[[#This Row],[FechaDesembolso]],Tabla1[[#This Row],[Mes de Mora]])),TODAY(),"d"))</f>
        <v/>
      </c>
    </row>
    <row r="336" spans="1:19" x14ac:dyDescent="0.25">
      <c r="A336" t="s">
        <v>1178</v>
      </c>
      <c r="B336" t="s">
        <v>528</v>
      </c>
      <c r="C336" s="8" t="s">
        <v>31</v>
      </c>
      <c r="D336" s="8" t="str">
        <f>_xlfn.XLOOKUP(B336,Clientes!A:A,Clientes!G:G,"No encontrado",0)</f>
        <v>AG07</v>
      </c>
      <c r="E336" s="9">
        <v>46053</v>
      </c>
      <c r="F336" s="11">
        <v>6593</v>
      </c>
      <c r="G336" s="10">
        <v>0.37536114126400072</v>
      </c>
      <c r="H336" s="10">
        <f t="shared" si="32"/>
        <v>2.6915547568468812E-2</v>
      </c>
      <c r="I336">
        <v>19</v>
      </c>
      <c r="J336" s="12">
        <f t="shared" si="33"/>
        <v>447.80725215325117</v>
      </c>
      <c r="K336">
        <f t="shared" ca="1" si="34"/>
        <v>6</v>
      </c>
      <c r="L336">
        <f ca="1">MIN(DATEDIF(Tabla1[[#This Row],[FechaDesembolso]],TODAY(),"m"),Tabla1[[#This Row],[Plazos (Meses)]])</f>
        <v>6</v>
      </c>
      <c r="M336">
        <f t="shared" ca="1" si="35"/>
        <v>13</v>
      </c>
      <c r="N336" s="8" t="s">
        <v>1251</v>
      </c>
      <c r="O336" s="8" t="s">
        <v>1253</v>
      </c>
      <c r="P336" s="13">
        <f t="shared" ca="1" si="37"/>
        <v>6592.9999999999891</v>
      </c>
      <c r="Q33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604.84351291950679</v>
      </c>
      <c r="R336" s="8" t="str">
        <f t="shared" ca="1" si="36"/>
        <v>Vigente</v>
      </c>
      <c r="S336" t="str">
        <f ca="1">IF(Tabla1[[#This Row],[En Mora]]="No","",DATEDIF((EDATE(Tabla1[[#This Row],[FechaDesembolso]],Tabla1[[#This Row],[Mes de Mora]])),TODAY(),"d"))</f>
        <v/>
      </c>
    </row>
    <row r="337" spans="1:19" x14ac:dyDescent="0.25">
      <c r="A337" t="s">
        <v>1179</v>
      </c>
      <c r="B337" t="s">
        <v>329</v>
      </c>
      <c r="C337" s="8" t="s">
        <v>39</v>
      </c>
      <c r="D337" s="8" t="str">
        <f>_xlfn.XLOOKUP(B337,Clientes!A:A,Clientes!G:G,"No encontrado",0)</f>
        <v>AG06</v>
      </c>
      <c r="E337" s="9">
        <v>45115</v>
      </c>
      <c r="F337" s="11">
        <v>13510</v>
      </c>
      <c r="G337" s="10">
        <v>0.25814830193252747</v>
      </c>
      <c r="H337" s="10">
        <f t="shared" si="32"/>
        <v>1.9321034499659495E-2</v>
      </c>
      <c r="I337">
        <v>17</v>
      </c>
      <c r="J337" s="12">
        <f t="shared" si="33"/>
        <v>939.93635412689309</v>
      </c>
      <c r="K337">
        <f t="shared" ca="1" si="34"/>
        <v>17</v>
      </c>
      <c r="L337">
        <f ca="1">MIN(DATEDIF(Tabla1[[#This Row],[FechaDesembolso]],TODAY(),"m"),Tabla1[[#This Row],[Plazos (Meses)]])</f>
        <v>17</v>
      </c>
      <c r="M337">
        <f t="shared" ca="1" si="35"/>
        <v>0</v>
      </c>
      <c r="N337" s="8" t="s">
        <v>1251</v>
      </c>
      <c r="O337" s="8" t="s">
        <v>1253</v>
      </c>
      <c r="P337" s="13">
        <f t="shared" ca="1" si="37"/>
        <v>0</v>
      </c>
      <c r="Q33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37" s="8" t="str">
        <f t="shared" ca="1" si="36"/>
        <v>Cancelado</v>
      </c>
      <c r="S337" t="str">
        <f ca="1">IF(Tabla1[[#This Row],[En Mora]]="No","",DATEDIF((EDATE(Tabla1[[#This Row],[FechaDesembolso]],Tabla1[[#This Row],[Mes de Mora]])),TODAY(),"d"))</f>
        <v/>
      </c>
    </row>
    <row r="338" spans="1:19" x14ac:dyDescent="0.25">
      <c r="A338" t="s">
        <v>1180</v>
      </c>
      <c r="B338" t="s">
        <v>323</v>
      </c>
      <c r="C338" s="8" t="s">
        <v>31</v>
      </c>
      <c r="D338" s="8" t="str">
        <f>_xlfn.XLOOKUP(B338,Clientes!A:A,Clientes!G:G,"No encontrado",0)</f>
        <v>AG05</v>
      </c>
      <c r="E338" s="9">
        <v>46000</v>
      </c>
      <c r="F338" s="11">
        <v>1858</v>
      </c>
      <c r="G338" s="10">
        <v>0.39307932789410238</v>
      </c>
      <c r="H338" s="10">
        <f t="shared" si="32"/>
        <v>2.801153390770561E-2</v>
      </c>
      <c r="I338">
        <v>27</v>
      </c>
      <c r="J338" s="12">
        <f t="shared" si="33"/>
        <v>99.002400024267999</v>
      </c>
      <c r="K338">
        <f t="shared" ca="1" si="34"/>
        <v>8</v>
      </c>
      <c r="L338">
        <f ca="1">MIN(DATEDIF(Tabla1[[#This Row],[FechaDesembolso]],TODAY(),"m"),Tabla1[[#This Row],[Plazos (Meses)]])</f>
        <v>8</v>
      </c>
      <c r="M338">
        <f t="shared" ca="1" si="35"/>
        <v>19</v>
      </c>
      <c r="N338" s="8" t="s">
        <v>1251</v>
      </c>
      <c r="O338" s="8" t="s">
        <v>1253</v>
      </c>
      <c r="P338" s="13">
        <f t="shared" ca="1" si="37"/>
        <v>1858</v>
      </c>
      <c r="Q33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241.50068167562546</v>
      </c>
      <c r="R338" s="8" t="str">
        <f t="shared" ca="1" si="36"/>
        <v>Vigente</v>
      </c>
      <c r="S338" t="str">
        <f ca="1">IF(Tabla1[[#This Row],[En Mora]]="No","",DATEDIF((EDATE(Tabla1[[#This Row],[FechaDesembolso]],Tabla1[[#This Row],[Mes de Mora]])),TODAY(),"d"))</f>
        <v/>
      </c>
    </row>
    <row r="339" spans="1:19" x14ac:dyDescent="0.25">
      <c r="A339" t="s">
        <v>1181</v>
      </c>
      <c r="B339" t="s">
        <v>648</v>
      </c>
      <c r="C339" s="8" t="s">
        <v>33</v>
      </c>
      <c r="D339" s="8" t="str">
        <f>_xlfn.XLOOKUP(B339,Clientes!A:A,Clientes!G:G,"No encontrado",0)</f>
        <v>AG02</v>
      </c>
      <c r="E339" s="9">
        <v>45528</v>
      </c>
      <c r="F339" s="11">
        <v>16571</v>
      </c>
      <c r="G339" s="10">
        <v>0.31290018855910706</v>
      </c>
      <c r="H339" s="10">
        <f t="shared" si="32"/>
        <v>2.2945844746483868E-2</v>
      </c>
      <c r="I339">
        <v>20</v>
      </c>
      <c r="J339" s="12">
        <f t="shared" si="33"/>
        <v>1042.4657092062391</v>
      </c>
      <c r="K339">
        <f t="shared" ca="1" si="34"/>
        <v>20</v>
      </c>
      <c r="L339">
        <f ca="1">MIN(DATEDIF(Tabla1[[#This Row],[FechaDesembolso]],TODAY(),"m"),Tabla1[[#This Row],[Plazos (Meses)]])</f>
        <v>20</v>
      </c>
      <c r="M339">
        <f t="shared" ca="1" si="35"/>
        <v>0</v>
      </c>
      <c r="N339" s="8" t="s">
        <v>1251</v>
      </c>
      <c r="O339" s="8" t="s">
        <v>1253</v>
      </c>
      <c r="P339" s="13">
        <f t="shared" ca="1" si="37"/>
        <v>0</v>
      </c>
      <c r="Q33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39" s="8" t="str">
        <f t="shared" ca="1" si="36"/>
        <v>Cancelado</v>
      </c>
      <c r="S339" t="str">
        <f ca="1">IF(Tabla1[[#This Row],[En Mora]]="No","",DATEDIF((EDATE(Tabla1[[#This Row],[FechaDesembolso]],Tabla1[[#This Row],[Mes de Mora]])),TODAY(),"d"))</f>
        <v/>
      </c>
    </row>
    <row r="340" spans="1:19" x14ac:dyDescent="0.25">
      <c r="A340" t="s">
        <v>1182</v>
      </c>
      <c r="B340" t="s">
        <v>810</v>
      </c>
      <c r="C340" s="8" t="s">
        <v>35</v>
      </c>
      <c r="D340" s="8" t="str">
        <f>_xlfn.XLOOKUP(B340,Clientes!A:A,Clientes!G:G,"No encontrado",0)</f>
        <v>AG03</v>
      </c>
      <c r="E340" s="9">
        <v>46015</v>
      </c>
      <c r="F340" s="11">
        <v>23221</v>
      </c>
      <c r="G340" s="10">
        <v>0.25871653246107301</v>
      </c>
      <c r="H340" s="10">
        <f t="shared" si="32"/>
        <v>1.935939043555468E-2</v>
      </c>
      <c r="I340">
        <v>58</v>
      </c>
      <c r="J340" s="12">
        <f t="shared" si="33"/>
        <v>669.82506531893409</v>
      </c>
      <c r="K340">
        <f t="shared" ca="1" si="34"/>
        <v>7</v>
      </c>
      <c r="L340">
        <f ca="1">MIN(DATEDIF(Tabla1[[#This Row],[FechaDesembolso]],TODAY(),"m"),Tabla1[[#This Row],[Plazos (Meses)]])</f>
        <v>7</v>
      </c>
      <c r="M340">
        <f t="shared" ca="1" si="35"/>
        <v>51</v>
      </c>
      <c r="N340" s="8" t="s">
        <v>1251</v>
      </c>
      <c r="O340" s="8" t="s">
        <v>1253</v>
      </c>
      <c r="P340" s="13">
        <f t="shared" ca="1" si="37"/>
        <v>23221.000000000018</v>
      </c>
      <c r="Q34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1886.2409744739182</v>
      </c>
      <c r="R340" s="8" t="str">
        <f t="shared" ca="1" si="36"/>
        <v>Vigente</v>
      </c>
      <c r="S340" t="str">
        <f ca="1">IF(Tabla1[[#This Row],[En Mora]]="No","",DATEDIF((EDATE(Tabla1[[#This Row],[FechaDesembolso]],Tabla1[[#This Row],[Mes de Mora]])),TODAY(),"d"))</f>
        <v/>
      </c>
    </row>
    <row r="341" spans="1:19" x14ac:dyDescent="0.25">
      <c r="A341" t="s">
        <v>1183</v>
      </c>
      <c r="B341" t="s">
        <v>413</v>
      </c>
      <c r="C341" s="8" t="s">
        <v>39</v>
      </c>
      <c r="D341" s="8" t="str">
        <f>_xlfn.XLOOKUP(B341,Clientes!A:A,Clientes!G:G,"No encontrado",0)</f>
        <v>AG06</v>
      </c>
      <c r="E341" s="9">
        <v>45985</v>
      </c>
      <c r="F341" s="11">
        <v>19906</v>
      </c>
      <c r="G341" s="10">
        <v>0.35349146777324891</v>
      </c>
      <c r="H341" s="10">
        <f t="shared" si="32"/>
        <v>2.5544776346887454E-2</v>
      </c>
      <c r="I341">
        <v>7</v>
      </c>
      <c r="J341" s="12">
        <f t="shared" si="33"/>
        <v>3141.607864598504</v>
      </c>
      <c r="K341">
        <f t="shared" ca="1" si="34"/>
        <v>4</v>
      </c>
      <c r="L341">
        <f ca="1">MIN(DATEDIF(Tabla1[[#This Row],[FechaDesembolso]],TODAY(),"m"),Tabla1[[#This Row],[Plazos (Meses)]])</f>
        <v>7</v>
      </c>
      <c r="M341">
        <f t="shared" ca="1" si="35"/>
        <v>3</v>
      </c>
      <c r="N341" s="8" t="s">
        <v>1252</v>
      </c>
      <c r="O341" s="8">
        <v>4</v>
      </c>
      <c r="P341" s="13">
        <f t="shared" ca="1" si="37"/>
        <v>19905.999999999996</v>
      </c>
      <c r="Q34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1191.5743155368732</v>
      </c>
      <c r="R341" s="8" t="str">
        <f t="shared" si="36"/>
        <v>En mora</v>
      </c>
      <c r="S341">
        <f ca="1">IF(Tabla1[[#This Row],[En Mora]]="No","",DATEDIF((EDATE(Tabla1[[#This Row],[FechaDesembolso]],Tabla1[[#This Row],[Mes de Mora]])),TODAY(),"d"))</f>
        <v>141</v>
      </c>
    </row>
    <row r="342" spans="1:19" x14ac:dyDescent="0.25">
      <c r="A342" t="s">
        <v>1184</v>
      </c>
      <c r="B342" t="s">
        <v>675</v>
      </c>
      <c r="C342" s="8" t="s">
        <v>39</v>
      </c>
      <c r="D342" s="8" t="str">
        <f>_xlfn.XLOOKUP(B342,Clientes!A:A,Clientes!G:G,"No encontrado",0)</f>
        <v>AG07</v>
      </c>
      <c r="E342" s="9">
        <v>45373</v>
      </c>
      <c r="F342" s="11">
        <v>6399</v>
      </c>
      <c r="G342" s="10">
        <v>0.34913581571231389</v>
      </c>
      <c r="H342" s="10">
        <f t="shared" si="32"/>
        <v>2.5269345580825053E-2</v>
      </c>
      <c r="I342">
        <v>22</v>
      </c>
      <c r="J342" s="12">
        <f t="shared" si="33"/>
        <v>382.73363747583164</v>
      </c>
      <c r="K342">
        <f t="shared" ca="1" si="34"/>
        <v>22</v>
      </c>
      <c r="L342">
        <f ca="1">MIN(DATEDIF(Tabla1[[#This Row],[FechaDesembolso]],TODAY(),"m"),Tabla1[[#This Row],[Plazos (Meses)]])</f>
        <v>22</v>
      </c>
      <c r="M342">
        <f t="shared" ca="1" si="35"/>
        <v>0</v>
      </c>
      <c r="N342" s="8" t="s">
        <v>1251</v>
      </c>
      <c r="O342" s="8" t="s">
        <v>1253</v>
      </c>
      <c r="P342" s="13">
        <f t="shared" ca="1" si="37"/>
        <v>0</v>
      </c>
      <c r="Q34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42" s="8" t="str">
        <f t="shared" ca="1" si="36"/>
        <v>Cancelado</v>
      </c>
      <c r="S342" t="str">
        <f ca="1">IF(Tabla1[[#This Row],[En Mora]]="No","",DATEDIF((EDATE(Tabla1[[#This Row],[FechaDesembolso]],Tabla1[[#This Row],[Mes de Mora]])),TODAY(),"d"))</f>
        <v/>
      </c>
    </row>
    <row r="343" spans="1:19" x14ac:dyDescent="0.25">
      <c r="A343" t="s">
        <v>1185</v>
      </c>
      <c r="B343" t="s">
        <v>285</v>
      </c>
      <c r="C343" s="8" t="s">
        <v>33</v>
      </c>
      <c r="D343" s="8" t="str">
        <f>_xlfn.XLOOKUP(B343,Clientes!A:A,Clientes!G:G,"No encontrado",0)</f>
        <v>AG05</v>
      </c>
      <c r="E343" s="9">
        <v>46091</v>
      </c>
      <c r="F343" s="11">
        <v>14459</v>
      </c>
      <c r="G343" s="10">
        <v>0.31129259971712797</v>
      </c>
      <c r="H343" s="10">
        <f t="shared" si="32"/>
        <v>2.2841406752515558E-2</v>
      </c>
      <c r="I343">
        <v>16</v>
      </c>
      <c r="J343" s="12">
        <f t="shared" si="33"/>
        <v>1089.0248769118862</v>
      </c>
      <c r="K343">
        <f t="shared" ca="1" si="34"/>
        <v>5</v>
      </c>
      <c r="L343">
        <f ca="1">MIN(DATEDIF(Tabla1[[#This Row],[FechaDesembolso]],TODAY(),"m"),Tabla1[[#This Row],[Plazos (Meses)]])</f>
        <v>5</v>
      </c>
      <c r="M343">
        <f t="shared" ca="1" si="35"/>
        <v>11</v>
      </c>
      <c r="N343" s="8" t="s">
        <v>1251</v>
      </c>
      <c r="O343" s="8" t="s">
        <v>1253</v>
      </c>
      <c r="P343" s="13">
        <f t="shared" ca="1" si="37"/>
        <v>14458.999999999991</v>
      </c>
      <c r="Q34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926.68688455943084</v>
      </c>
      <c r="R343" s="8" t="str">
        <f t="shared" ca="1" si="36"/>
        <v>Vigente</v>
      </c>
      <c r="S343" t="str">
        <f ca="1">IF(Tabla1[[#This Row],[En Mora]]="No","",DATEDIF((EDATE(Tabla1[[#This Row],[FechaDesembolso]],Tabla1[[#This Row],[Mes de Mora]])),TODAY(),"d"))</f>
        <v/>
      </c>
    </row>
    <row r="344" spans="1:19" x14ac:dyDescent="0.25">
      <c r="A344" t="s">
        <v>1186</v>
      </c>
      <c r="B344" t="s">
        <v>317</v>
      </c>
      <c r="C344" s="8" t="s">
        <v>33</v>
      </c>
      <c r="D344" s="8" t="str">
        <f>_xlfn.XLOOKUP(B344,Clientes!A:A,Clientes!G:G,"No encontrado",0)</f>
        <v>AG02</v>
      </c>
      <c r="E344" s="9">
        <v>45088</v>
      </c>
      <c r="F344" s="11">
        <v>37050</v>
      </c>
      <c r="G344" s="10">
        <v>0.26726661129989582</v>
      </c>
      <c r="H344" s="10">
        <f t="shared" si="32"/>
        <v>1.9934618300170959E-2</v>
      </c>
      <c r="I344">
        <v>11</v>
      </c>
      <c r="J344" s="12">
        <f t="shared" si="33"/>
        <v>3784.2849651084921</v>
      </c>
      <c r="K344">
        <f t="shared" ca="1" si="34"/>
        <v>11</v>
      </c>
      <c r="L344">
        <f ca="1">MIN(DATEDIF(Tabla1[[#This Row],[FechaDesembolso]],TODAY(),"m"),Tabla1[[#This Row],[Plazos (Meses)]])</f>
        <v>11</v>
      </c>
      <c r="M344">
        <f t="shared" ca="1" si="35"/>
        <v>0</v>
      </c>
      <c r="N344" s="8" t="s">
        <v>1251</v>
      </c>
      <c r="O344" s="8" t="s">
        <v>1253</v>
      </c>
      <c r="P344" s="13">
        <f t="shared" ca="1" si="37"/>
        <v>0</v>
      </c>
      <c r="Q34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44" s="8" t="str">
        <f t="shared" ca="1" si="36"/>
        <v>Cancelado</v>
      </c>
      <c r="S344" t="str">
        <f ca="1">IF(Tabla1[[#This Row],[En Mora]]="No","",DATEDIF((EDATE(Tabla1[[#This Row],[FechaDesembolso]],Tabla1[[#This Row],[Mes de Mora]])),TODAY(),"d"))</f>
        <v/>
      </c>
    </row>
    <row r="345" spans="1:19" x14ac:dyDescent="0.25">
      <c r="A345" t="s">
        <v>1187</v>
      </c>
      <c r="B345" t="s">
        <v>85</v>
      </c>
      <c r="C345" s="8" t="s">
        <v>37</v>
      </c>
      <c r="D345" s="8" t="str">
        <f>_xlfn.XLOOKUP(B345,Clientes!A:A,Clientes!G:G,"No encontrado",0)</f>
        <v>AG04</v>
      </c>
      <c r="E345" s="9">
        <v>45437</v>
      </c>
      <c r="F345" s="11">
        <v>121367</v>
      </c>
      <c r="G345" s="10">
        <v>0.10091950836189449</v>
      </c>
      <c r="H345" s="10">
        <f t="shared" si="32"/>
        <v>8.0443287426288368E-3</v>
      </c>
      <c r="I345">
        <v>81</v>
      </c>
      <c r="J345" s="12">
        <f t="shared" si="33"/>
        <v>2044.9687821942111</v>
      </c>
      <c r="K345">
        <f t="shared" ca="1" si="34"/>
        <v>8</v>
      </c>
      <c r="L345">
        <f ca="1">MIN(DATEDIF(Tabla1[[#This Row],[FechaDesembolso]],TODAY(),"m"),Tabla1[[#This Row],[Plazos (Meses)]])</f>
        <v>26</v>
      </c>
      <c r="M345">
        <f t="shared" ca="1" si="35"/>
        <v>73</v>
      </c>
      <c r="N345" s="8" t="s">
        <v>1252</v>
      </c>
      <c r="O345" s="8">
        <v>8</v>
      </c>
      <c r="P345" s="13">
        <f t="shared" ca="1" si="37"/>
        <v>121366.99999999991</v>
      </c>
      <c r="Q34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4372.8860600228236</v>
      </c>
      <c r="R345" s="8" t="str">
        <f t="shared" si="36"/>
        <v>En mora</v>
      </c>
      <c r="S345">
        <f ca="1">IF(Tabla1[[#This Row],[En Mora]]="No","",DATEDIF((EDATE(Tabla1[[#This Row],[FechaDesembolso]],Tabla1[[#This Row],[Mes de Mora]])),TODAY(),"d"))</f>
        <v>564</v>
      </c>
    </row>
    <row r="346" spans="1:19" x14ac:dyDescent="0.25">
      <c r="A346" t="s">
        <v>1188</v>
      </c>
      <c r="B346" t="s">
        <v>112</v>
      </c>
      <c r="C346" s="8" t="s">
        <v>33</v>
      </c>
      <c r="D346" s="8" t="str">
        <f>_xlfn.XLOOKUP(B346,Clientes!A:A,Clientes!G:G,"No encontrado",0)</f>
        <v>AG05</v>
      </c>
      <c r="E346" s="9">
        <v>46169</v>
      </c>
      <c r="F346" s="11">
        <v>16459</v>
      </c>
      <c r="G346" s="10">
        <v>0.33310490099345474</v>
      </c>
      <c r="H346" s="10">
        <f t="shared" si="32"/>
        <v>2.424855616538979E-2</v>
      </c>
      <c r="I346">
        <v>40</v>
      </c>
      <c r="J346" s="12">
        <f t="shared" si="33"/>
        <v>647.39422959532112</v>
      </c>
      <c r="K346">
        <f t="shared" ca="1" si="34"/>
        <v>2</v>
      </c>
      <c r="L346">
        <f ca="1">MIN(DATEDIF(Tabla1[[#This Row],[FechaDesembolso]],TODAY(),"m"),Tabla1[[#This Row],[Plazos (Meses)]])</f>
        <v>2</v>
      </c>
      <c r="M346">
        <f t="shared" ca="1" si="35"/>
        <v>38</v>
      </c>
      <c r="N346" s="8" t="s">
        <v>1251</v>
      </c>
      <c r="O346" s="8" t="s">
        <v>1253</v>
      </c>
      <c r="P346" s="13">
        <f t="shared" ca="1" si="37"/>
        <v>16459</v>
      </c>
      <c r="Q34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471.83845919064225</v>
      </c>
      <c r="R346" s="8" t="str">
        <f t="shared" ca="1" si="36"/>
        <v>Vigente</v>
      </c>
      <c r="S346" t="str">
        <f ca="1">IF(Tabla1[[#This Row],[En Mora]]="No","",DATEDIF((EDATE(Tabla1[[#This Row],[FechaDesembolso]],Tabla1[[#This Row],[Mes de Mora]])),TODAY(),"d"))</f>
        <v/>
      </c>
    </row>
    <row r="347" spans="1:19" x14ac:dyDescent="0.25">
      <c r="A347" t="s">
        <v>1189</v>
      </c>
      <c r="B347" t="s">
        <v>210</v>
      </c>
      <c r="C347" s="8" t="s">
        <v>35</v>
      </c>
      <c r="D347" s="8" t="str">
        <f>_xlfn.XLOOKUP(B347,Clientes!A:A,Clientes!G:G,"No encontrado",0)</f>
        <v>AG05</v>
      </c>
      <c r="E347" s="9">
        <v>45953</v>
      </c>
      <c r="F347" s="11">
        <v>80403</v>
      </c>
      <c r="G347" s="10">
        <v>0.32140289353928331</v>
      </c>
      <c r="H347" s="10">
        <f t="shared" si="32"/>
        <v>2.3496286146025724E-2</v>
      </c>
      <c r="I347">
        <v>54</v>
      </c>
      <c r="J347" s="12">
        <f t="shared" si="33"/>
        <v>2643.4037263297992</v>
      </c>
      <c r="K347">
        <f t="shared" ca="1" si="34"/>
        <v>9</v>
      </c>
      <c r="L347">
        <f ca="1">MIN(DATEDIF(Tabla1[[#This Row],[FechaDesembolso]],TODAY(),"m"),Tabla1[[#This Row],[Plazos (Meses)]])</f>
        <v>9</v>
      </c>
      <c r="M347">
        <f t="shared" ca="1" si="35"/>
        <v>45</v>
      </c>
      <c r="N347" s="8" t="s">
        <v>1251</v>
      </c>
      <c r="O347" s="8" t="s">
        <v>1253</v>
      </c>
      <c r="P347" s="13">
        <f t="shared" ca="1" si="37"/>
        <v>80403.000000000044</v>
      </c>
      <c r="Q34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10390.133536968191</v>
      </c>
      <c r="R347" s="8" t="str">
        <f t="shared" ca="1" si="36"/>
        <v>Vigente</v>
      </c>
      <c r="S347" t="str">
        <f ca="1">IF(Tabla1[[#This Row],[En Mora]]="No","",DATEDIF((EDATE(Tabla1[[#This Row],[FechaDesembolso]],Tabla1[[#This Row],[Mes de Mora]])),TODAY(),"d"))</f>
        <v/>
      </c>
    </row>
    <row r="348" spans="1:19" x14ac:dyDescent="0.25">
      <c r="A348" t="s">
        <v>1190</v>
      </c>
      <c r="B348" t="s">
        <v>426</v>
      </c>
      <c r="C348" s="8" t="s">
        <v>33</v>
      </c>
      <c r="D348" s="8" t="str">
        <f>_xlfn.XLOOKUP(B348,Clientes!A:A,Clientes!G:G,"No encontrado",0)</f>
        <v>AG05</v>
      </c>
      <c r="E348" s="9">
        <v>46040</v>
      </c>
      <c r="F348" s="11">
        <v>31164</v>
      </c>
      <c r="G348" s="10">
        <v>0.35218330500982892</v>
      </c>
      <c r="H348" s="10">
        <f t="shared" si="32"/>
        <v>2.5462139811082807E-2</v>
      </c>
      <c r="I348">
        <v>48</v>
      </c>
      <c r="J348" s="12">
        <f t="shared" si="33"/>
        <v>1132.1648397192798</v>
      </c>
      <c r="K348">
        <f t="shared" ca="1" si="34"/>
        <v>6</v>
      </c>
      <c r="L348">
        <f ca="1">MIN(DATEDIF(Tabla1[[#This Row],[FechaDesembolso]],TODAY(),"m"),Tabla1[[#This Row],[Plazos (Meses)]])</f>
        <v>6</v>
      </c>
      <c r="M348">
        <f t="shared" ca="1" si="35"/>
        <v>42</v>
      </c>
      <c r="N348" s="8" t="s">
        <v>1251</v>
      </c>
      <c r="O348" s="8" t="s">
        <v>1253</v>
      </c>
      <c r="P348" s="13">
        <f t="shared" ca="1" si="37"/>
        <v>31163.999999999978</v>
      </c>
      <c r="Q34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2897.489038315679</v>
      </c>
      <c r="R348" s="8" t="str">
        <f t="shared" ca="1" si="36"/>
        <v>Vigente</v>
      </c>
      <c r="S348" t="str">
        <f ca="1">IF(Tabla1[[#This Row],[En Mora]]="No","",DATEDIF((EDATE(Tabla1[[#This Row],[FechaDesembolso]],Tabla1[[#This Row],[Mes de Mora]])),TODAY(),"d"))</f>
        <v/>
      </c>
    </row>
    <row r="349" spans="1:19" x14ac:dyDescent="0.25">
      <c r="A349" t="s">
        <v>1191</v>
      </c>
      <c r="B349" t="s">
        <v>474</v>
      </c>
      <c r="C349" s="8" t="s">
        <v>33</v>
      </c>
      <c r="D349" s="8" t="str">
        <f>_xlfn.XLOOKUP(B349,Clientes!A:A,Clientes!G:G,"No encontrado",0)</f>
        <v>AG07</v>
      </c>
      <c r="E349" s="9">
        <v>46204</v>
      </c>
      <c r="F349" s="11">
        <v>49873</v>
      </c>
      <c r="G349" s="10">
        <v>0.39791077309257095</v>
      </c>
      <c r="H349" s="10">
        <f t="shared" si="32"/>
        <v>2.8308173136995629E-2</v>
      </c>
      <c r="I349">
        <v>35</v>
      </c>
      <c r="J349" s="12">
        <f t="shared" si="33"/>
        <v>2264.0840665419887</v>
      </c>
      <c r="K349">
        <f t="shared" ca="1" si="34"/>
        <v>1</v>
      </c>
      <c r="L349">
        <f ca="1">MIN(DATEDIF(Tabla1[[#This Row],[FechaDesembolso]],TODAY(),"m"),Tabla1[[#This Row],[Plazos (Meses)]])</f>
        <v>1</v>
      </c>
      <c r="M349">
        <f t="shared" ca="1" si="35"/>
        <v>34</v>
      </c>
      <c r="N349" s="8" t="s">
        <v>1251</v>
      </c>
      <c r="O349" s="8" t="s">
        <v>1253</v>
      </c>
      <c r="P349" s="13">
        <f t="shared" ca="1" si="37"/>
        <v>49873</v>
      </c>
      <c r="Q34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839.14120939913141</v>
      </c>
      <c r="R349" s="8" t="str">
        <f t="shared" ca="1" si="36"/>
        <v>Vigente</v>
      </c>
      <c r="S349" t="str">
        <f ca="1">IF(Tabla1[[#This Row],[En Mora]]="No","",DATEDIF((EDATE(Tabla1[[#This Row],[FechaDesembolso]],Tabla1[[#This Row],[Mes de Mora]])),TODAY(),"d"))</f>
        <v/>
      </c>
    </row>
    <row r="350" spans="1:19" x14ac:dyDescent="0.25">
      <c r="A350" t="s">
        <v>1192</v>
      </c>
      <c r="B350" t="s">
        <v>100</v>
      </c>
      <c r="C350" s="8" t="s">
        <v>35</v>
      </c>
      <c r="D350" s="8" t="str">
        <f>_xlfn.XLOOKUP(B350,Clientes!A:A,Clientes!G:G,"No encontrado",0)</f>
        <v>AG05</v>
      </c>
      <c r="E350" s="9">
        <v>46012</v>
      </c>
      <c r="F350" s="11">
        <v>5219</v>
      </c>
      <c r="G350" s="10">
        <v>0.20123813762338977</v>
      </c>
      <c r="H350" s="10">
        <f t="shared" si="32"/>
        <v>1.5396727358581774E-2</v>
      </c>
      <c r="I350">
        <v>20</v>
      </c>
      <c r="J350" s="12">
        <f t="shared" si="33"/>
        <v>305.1746614472259</v>
      </c>
      <c r="K350">
        <f t="shared" ca="1" si="34"/>
        <v>7</v>
      </c>
      <c r="L350">
        <f ca="1">MIN(DATEDIF(Tabla1[[#This Row],[FechaDesembolso]],TODAY(),"m"),Tabla1[[#This Row],[Plazos (Meses)]])</f>
        <v>7</v>
      </c>
      <c r="M350">
        <f t="shared" ca="1" si="35"/>
        <v>13</v>
      </c>
      <c r="N350" s="8" t="s">
        <v>1251</v>
      </c>
      <c r="O350" s="8" t="s">
        <v>1253</v>
      </c>
      <c r="P350" s="13">
        <f t="shared" ca="1" si="37"/>
        <v>5218.9999999999927</v>
      </c>
      <c r="Q35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309.57263013058122</v>
      </c>
      <c r="R350" s="8" t="str">
        <f t="shared" ca="1" si="36"/>
        <v>Vigente</v>
      </c>
      <c r="S350" t="str">
        <f ca="1">IF(Tabla1[[#This Row],[En Mora]]="No","",DATEDIF((EDATE(Tabla1[[#This Row],[FechaDesembolso]],Tabla1[[#This Row],[Mes de Mora]])),TODAY(),"d"))</f>
        <v/>
      </c>
    </row>
    <row r="351" spans="1:19" x14ac:dyDescent="0.25">
      <c r="A351" t="s">
        <v>1193</v>
      </c>
      <c r="B351" t="s">
        <v>213</v>
      </c>
      <c r="C351" s="8" t="s">
        <v>33</v>
      </c>
      <c r="D351" s="8" t="str">
        <f>_xlfn.XLOOKUP(B351,Clientes!A:A,Clientes!G:G,"No encontrado",0)</f>
        <v>AG04</v>
      </c>
      <c r="E351" s="9">
        <v>45698</v>
      </c>
      <c r="F351" s="11">
        <v>43239</v>
      </c>
      <c r="G351" s="10">
        <v>0.41086830733827628</v>
      </c>
      <c r="H351" s="10">
        <f t="shared" si="32"/>
        <v>2.9099119205576063E-2</v>
      </c>
      <c r="I351">
        <v>24</v>
      </c>
      <c r="J351" s="12">
        <f t="shared" si="33"/>
        <v>2528.4380076366028</v>
      </c>
      <c r="K351">
        <f t="shared" ca="1" si="34"/>
        <v>18</v>
      </c>
      <c r="L351">
        <f ca="1">MIN(DATEDIF(Tabla1[[#This Row],[FechaDesembolso]],TODAY(),"m"),Tabla1[[#This Row],[Plazos (Meses)]])</f>
        <v>18</v>
      </c>
      <c r="M351">
        <f t="shared" ca="1" si="35"/>
        <v>6</v>
      </c>
      <c r="N351" s="8" t="s">
        <v>1251</v>
      </c>
      <c r="O351" s="8" t="s">
        <v>1253</v>
      </c>
      <c r="P351" s="13">
        <f t="shared" ca="1" si="37"/>
        <v>43239.000000000015</v>
      </c>
      <c r="Q35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13082.634137458848</v>
      </c>
      <c r="R351" s="8" t="str">
        <f t="shared" ca="1" si="36"/>
        <v>Vigente</v>
      </c>
      <c r="S351" t="str">
        <f ca="1">IF(Tabla1[[#This Row],[En Mora]]="No","",DATEDIF((EDATE(Tabla1[[#This Row],[FechaDesembolso]],Tabla1[[#This Row],[Mes de Mora]])),TODAY(),"d"))</f>
        <v/>
      </c>
    </row>
    <row r="352" spans="1:19" x14ac:dyDescent="0.25">
      <c r="A352" t="s">
        <v>1194</v>
      </c>
      <c r="B352" t="s">
        <v>266</v>
      </c>
      <c r="C352" s="8" t="s">
        <v>37</v>
      </c>
      <c r="D352" s="8" t="str">
        <f>_xlfn.XLOOKUP(B352,Clientes!A:A,Clientes!G:G,"No encontrado",0)</f>
        <v>AG06</v>
      </c>
      <c r="E352" s="9">
        <v>46151</v>
      </c>
      <c r="F352" s="11">
        <v>255564</v>
      </c>
      <c r="G352" s="10">
        <v>0.1151217216668852</v>
      </c>
      <c r="H352" s="10">
        <f t="shared" si="32"/>
        <v>9.1216481608440425E-3</v>
      </c>
      <c r="I352">
        <v>64</v>
      </c>
      <c r="J352" s="12">
        <f t="shared" si="33"/>
        <v>5289.2184670948227</v>
      </c>
      <c r="K352">
        <f t="shared" ca="1" si="34"/>
        <v>1</v>
      </c>
      <c r="L352">
        <f ca="1">MIN(DATEDIF(Tabla1[[#This Row],[FechaDesembolso]],TODAY(),"m"),Tabla1[[#This Row],[Plazos (Meses)]])</f>
        <v>3</v>
      </c>
      <c r="M352">
        <f t="shared" ca="1" si="35"/>
        <v>63</v>
      </c>
      <c r="N352" s="8" t="s">
        <v>1252</v>
      </c>
      <c r="O352" s="8">
        <v>1</v>
      </c>
      <c r="P352" s="13">
        <f t="shared" ca="1" si="37"/>
        <v>255563.99999999971</v>
      </c>
      <c r="Q35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1296.0309670948227</v>
      </c>
      <c r="R352" s="8" t="str">
        <f t="shared" si="36"/>
        <v>En mora</v>
      </c>
      <c r="S352">
        <f ca="1">IF(Tabla1[[#This Row],[En Mora]]="No","",DATEDIF((EDATE(Tabla1[[#This Row],[FechaDesembolso]],Tabla1[[#This Row],[Mes de Mora]])),TODAY(),"d"))</f>
        <v>64</v>
      </c>
    </row>
    <row r="353" spans="1:19" x14ac:dyDescent="0.25">
      <c r="A353" t="s">
        <v>1195</v>
      </c>
      <c r="B353" t="s">
        <v>213</v>
      </c>
      <c r="C353" s="8" t="s">
        <v>35</v>
      </c>
      <c r="D353" s="8" t="str">
        <f>_xlfn.XLOOKUP(B353,Clientes!A:A,Clientes!G:G,"No encontrado",0)</f>
        <v>AG04</v>
      </c>
      <c r="E353" s="9">
        <v>46064</v>
      </c>
      <c r="F353" s="11">
        <v>58095</v>
      </c>
      <c r="G353" s="10">
        <v>0.24105061504072167</v>
      </c>
      <c r="H353" s="10">
        <f t="shared" si="32"/>
        <v>1.815943752279181E-2</v>
      </c>
      <c r="I353">
        <v>40</v>
      </c>
      <c r="J353" s="12">
        <f t="shared" si="33"/>
        <v>2055.7550695481336</v>
      </c>
      <c r="K353">
        <f t="shared" ca="1" si="34"/>
        <v>6</v>
      </c>
      <c r="L353">
        <f ca="1">MIN(DATEDIF(Tabla1[[#This Row],[FechaDesembolso]],TODAY(),"m"),Tabla1[[#This Row],[Plazos (Meses)]])</f>
        <v>6</v>
      </c>
      <c r="M353">
        <f t="shared" ca="1" si="35"/>
        <v>34</v>
      </c>
      <c r="N353" s="8" t="s">
        <v>1251</v>
      </c>
      <c r="O353" s="8" t="s">
        <v>1253</v>
      </c>
      <c r="P353" s="13">
        <f t="shared" ca="1" si="37"/>
        <v>58095.000000000065</v>
      </c>
      <c r="Q35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3620.2804172888013</v>
      </c>
      <c r="R353" s="8" t="str">
        <f t="shared" ca="1" si="36"/>
        <v>Vigente</v>
      </c>
      <c r="S353" t="str">
        <f ca="1">IF(Tabla1[[#This Row],[En Mora]]="No","",DATEDIF((EDATE(Tabla1[[#This Row],[FechaDesembolso]],Tabla1[[#This Row],[Mes de Mora]])),TODAY(),"d"))</f>
        <v/>
      </c>
    </row>
    <row r="354" spans="1:19" x14ac:dyDescent="0.25">
      <c r="A354" t="s">
        <v>1196</v>
      </c>
      <c r="B354" t="s">
        <v>810</v>
      </c>
      <c r="C354" s="8" t="s">
        <v>37</v>
      </c>
      <c r="D354" s="8" t="str">
        <f>_xlfn.XLOOKUP(B354,Clientes!A:A,Clientes!G:G,"No encontrado",0)</f>
        <v>AG03</v>
      </c>
      <c r="E354" s="9">
        <v>46162</v>
      </c>
      <c r="F354" s="11">
        <v>297277</v>
      </c>
      <c r="G354" s="10">
        <v>0.12364039334018609</v>
      </c>
      <c r="H354" s="10">
        <f t="shared" si="32"/>
        <v>9.7618191924262465E-3</v>
      </c>
      <c r="I354">
        <v>240</v>
      </c>
      <c r="J354" s="12">
        <f t="shared" si="33"/>
        <v>3214.2346499241062</v>
      </c>
      <c r="K354">
        <f t="shared" ca="1" si="34"/>
        <v>2</v>
      </c>
      <c r="L354">
        <f ca="1">MIN(DATEDIF(Tabla1[[#This Row],[FechaDesembolso]],TODAY(),"m"),Tabla1[[#This Row],[Plazos (Meses)]])</f>
        <v>2</v>
      </c>
      <c r="M354">
        <f t="shared" ca="1" si="35"/>
        <v>238</v>
      </c>
      <c r="N354" s="8" t="s">
        <v>1251</v>
      </c>
      <c r="O354" s="8" t="s">
        <v>1253</v>
      </c>
      <c r="P354" s="13">
        <f t="shared" ca="1" si="37"/>
        <v>297276.99999999983</v>
      </c>
      <c r="Q35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3951.1609665148794</v>
      </c>
      <c r="R354" s="8" t="str">
        <f t="shared" ca="1" si="36"/>
        <v>Vigente</v>
      </c>
      <c r="S354" t="str">
        <f ca="1">IF(Tabla1[[#This Row],[En Mora]]="No","",DATEDIF((EDATE(Tabla1[[#This Row],[FechaDesembolso]],Tabla1[[#This Row],[Mes de Mora]])),TODAY(),"d"))</f>
        <v/>
      </c>
    </row>
    <row r="355" spans="1:19" x14ac:dyDescent="0.25">
      <c r="A355" t="s">
        <v>1197</v>
      </c>
      <c r="B355" t="s">
        <v>597</v>
      </c>
      <c r="C355" s="8" t="s">
        <v>35</v>
      </c>
      <c r="D355" s="8" t="str">
        <f>_xlfn.XLOOKUP(B355,Clientes!A:A,Clientes!G:G,"No encontrado",0)</f>
        <v>AG04</v>
      </c>
      <c r="E355" s="9">
        <v>45323</v>
      </c>
      <c r="F355" s="11">
        <v>23367</v>
      </c>
      <c r="G355" s="10">
        <v>0.20461101387780126</v>
      </c>
      <c r="H355" s="10">
        <f t="shared" si="32"/>
        <v>1.5634010862743741E-2</v>
      </c>
      <c r="I355">
        <v>52</v>
      </c>
      <c r="J355" s="12">
        <f t="shared" si="33"/>
        <v>659.82467127238181</v>
      </c>
      <c r="K355">
        <f t="shared" ca="1" si="34"/>
        <v>30</v>
      </c>
      <c r="L355">
        <f ca="1">MIN(DATEDIF(Tabla1[[#This Row],[FechaDesembolso]],TODAY(),"m"),Tabla1[[#This Row],[Plazos (Meses)]])</f>
        <v>30</v>
      </c>
      <c r="M355">
        <f t="shared" ca="1" si="35"/>
        <v>22</v>
      </c>
      <c r="N355" s="8" t="s">
        <v>1251</v>
      </c>
      <c r="O355" s="8" t="s">
        <v>1253</v>
      </c>
      <c r="P355" s="13">
        <f t="shared" ca="1" si="37"/>
        <v>23366.999999999975</v>
      </c>
      <c r="Q35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6313.7785997099145</v>
      </c>
      <c r="R355" s="8" t="str">
        <f t="shared" ca="1" si="36"/>
        <v>Vigente</v>
      </c>
      <c r="S355" t="str">
        <f ca="1">IF(Tabla1[[#This Row],[En Mora]]="No","",DATEDIF((EDATE(Tabla1[[#This Row],[FechaDesembolso]],Tabla1[[#This Row],[Mes de Mora]])),TODAY(),"d"))</f>
        <v/>
      </c>
    </row>
    <row r="356" spans="1:19" x14ac:dyDescent="0.25">
      <c r="A356" t="s">
        <v>1198</v>
      </c>
      <c r="B356" t="s">
        <v>137</v>
      </c>
      <c r="C356" s="8" t="s">
        <v>39</v>
      </c>
      <c r="D356" s="8" t="str">
        <f>_xlfn.XLOOKUP(B356,Clientes!A:A,Clientes!G:G,"No encontrado",0)</f>
        <v>AG07</v>
      </c>
      <c r="E356" s="9">
        <v>46137</v>
      </c>
      <c r="F356" s="11">
        <v>8810</v>
      </c>
      <c r="G356" s="10">
        <v>0.27092491674038199</v>
      </c>
      <c r="H356" s="10">
        <f t="shared" si="32"/>
        <v>2.0179653862918201E-2</v>
      </c>
      <c r="I356">
        <v>8</v>
      </c>
      <c r="J356" s="12">
        <f t="shared" si="33"/>
        <v>1203.582708419427</v>
      </c>
      <c r="K356">
        <f t="shared" ca="1" si="34"/>
        <v>3</v>
      </c>
      <c r="L356">
        <f ca="1">MIN(DATEDIF(Tabla1[[#This Row],[FechaDesembolso]],TODAY(),"m"),Tabla1[[#This Row],[Plazos (Meses)]])</f>
        <v>3</v>
      </c>
      <c r="M356">
        <f t="shared" ca="1" si="35"/>
        <v>5</v>
      </c>
      <c r="N356" s="8" t="s">
        <v>1251</v>
      </c>
      <c r="O356" s="8" t="s">
        <v>1253</v>
      </c>
      <c r="P356" s="13">
        <f t="shared" ca="1" si="37"/>
        <v>8810.0000000000018</v>
      </c>
      <c r="Q35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306.99812525828111</v>
      </c>
      <c r="R356" s="8" t="str">
        <f t="shared" ca="1" si="36"/>
        <v>Vigente</v>
      </c>
      <c r="S356" t="str">
        <f ca="1">IF(Tabla1[[#This Row],[En Mora]]="No","",DATEDIF((EDATE(Tabla1[[#This Row],[FechaDesembolso]],Tabla1[[#This Row],[Mes de Mora]])),TODAY(),"d"))</f>
        <v/>
      </c>
    </row>
    <row r="357" spans="1:19" x14ac:dyDescent="0.25">
      <c r="A357" t="s">
        <v>1199</v>
      </c>
      <c r="B357" t="s">
        <v>285</v>
      </c>
      <c r="C357" s="8" t="s">
        <v>37</v>
      </c>
      <c r="D357" s="8" t="str">
        <f>_xlfn.XLOOKUP(B357,Clientes!A:A,Clientes!G:G,"No encontrado",0)</f>
        <v>AG05</v>
      </c>
      <c r="E357" s="9">
        <v>46042</v>
      </c>
      <c r="F357" s="11">
        <v>293658</v>
      </c>
      <c r="G357" s="10">
        <v>0.11990199845341093</v>
      </c>
      <c r="H357" s="10">
        <f t="shared" si="32"/>
        <v>9.4814316674087795E-3</v>
      </c>
      <c r="I357">
        <v>137</v>
      </c>
      <c r="J357" s="12">
        <f t="shared" si="33"/>
        <v>3837.7170509161933</v>
      </c>
      <c r="K357">
        <f t="shared" ca="1" si="34"/>
        <v>6</v>
      </c>
      <c r="L357">
        <f ca="1">MIN(DATEDIF(Tabla1[[#This Row],[FechaDesembolso]],TODAY(),"m"),Tabla1[[#This Row],[Plazos (Meses)]])</f>
        <v>6</v>
      </c>
      <c r="M357">
        <f t="shared" ca="1" si="35"/>
        <v>131</v>
      </c>
      <c r="N357" s="8" t="s">
        <v>1251</v>
      </c>
      <c r="O357" s="8" t="s">
        <v>1253</v>
      </c>
      <c r="P357" s="13">
        <f t="shared" ca="1" si="37"/>
        <v>293658.00000000047</v>
      </c>
      <c r="Q35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10165.367998927817</v>
      </c>
      <c r="R357" s="8" t="str">
        <f t="shared" ca="1" si="36"/>
        <v>Vigente</v>
      </c>
      <c r="S357" t="str">
        <f ca="1">IF(Tabla1[[#This Row],[En Mora]]="No","",DATEDIF((EDATE(Tabla1[[#This Row],[FechaDesembolso]],Tabla1[[#This Row],[Mes de Mora]])),TODAY(),"d"))</f>
        <v/>
      </c>
    </row>
    <row r="358" spans="1:19" x14ac:dyDescent="0.25">
      <c r="A358" t="s">
        <v>1200</v>
      </c>
      <c r="B358" t="s">
        <v>732</v>
      </c>
      <c r="C358" s="8" t="s">
        <v>39</v>
      </c>
      <c r="D358" s="8" t="str">
        <f>_xlfn.XLOOKUP(B358,Clientes!A:A,Clientes!G:G,"No encontrado",0)</f>
        <v>AG03</v>
      </c>
      <c r="E358" s="9">
        <v>46156</v>
      </c>
      <c r="F358" s="11">
        <v>17590</v>
      </c>
      <c r="G358" s="10">
        <v>0.26618185584090681</v>
      </c>
      <c r="H358" s="10">
        <f t="shared" si="32"/>
        <v>1.986183606605807E-2</v>
      </c>
      <c r="I358">
        <v>9</v>
      </c>
      <c r="J358" s="12">
        <f t="shared" si="33"/>
        <v>2153.6257434427844</v>
      </c>
      <c r="K358">
        <f t="shared" ca="1" si="34"/>
        <v>2</v>
      </c>
      <c r="L358">
        <f ca="1">MIN(DATEDIF(Tabla1[[#This Row],[FechaDesembolso]],TODAY(),"m"),Tabla1[[#This Row],[Plazos (Meses)]])</f>
        <v>2</v>
      </c>
      <c r="M358">
        <f t="shared" ca="1" si="35"/>
        <v>7</v>
      </c>
      <c r="N358" s="8" t="s">
        <v>1251</v>
      </c>
      <c r="O358" s="8" t="s">
        <v>1253</v>
      </c>
      <c r="P358" s="13">
        <f t="shared" ca="1" si="37"/>
        <v>17590.000000000018</v>
      </c>
      <c r="Q35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398.36259799667943</v>
      </c>
      <c r="R358" s="8" t="str">
        <f t="shared" ca="1" si="36"/>
        <v>Vigente</v>
      </c>
      <c r="S358" t="str">
        <f ca="1">IF(Tabla1[[#This Row],[En Mora]]="No","",DATEDIF((EDATE(Tabla1[[#This Row],[FechaDesembolso]],Tabla1[[#This Row],[Mes de Mora]])),TODAY(),"d"))</f>
        <v/>
      </c>
    </row>
    <row r="359" spans="1:19" x14ac:dyDescent="0.25">
      <c r="A359" t="s">
        <v>1201</v>
      </c>
      <c r="B359" t="s">
        <v>149</v>
      </c>
      <c r="C359" s="8" t="s">
        <v>33</v>
      </c>
      <c r="D359" s="8" t="str">
        <f>_xlfn.XLOOKUP(B359,Clientes!A:A,Clientes!G:G,"No encontrado",0)</f>
        <v>AG08</v>
      </c>
      <c r="E359" s="9">
        <v>45645</v>
      </c>
      <c r="F359" s="11">
        <v>39075</v>
      </c>
      <c r="G359" s="10">
        <v>0.34146328255618696</v>
      </c>
      <c r="H359" s="10">
        <f t="shared" si="32"/>
        <v>2.4782182372798944E-2</v>
      </c>
      <c r="I359">
        <v>44</v>
      </c>
      <c r="J359" s="12">
        <f t="shared" si="33"/>
        <v>1468.4943128490697</v>
      </c>
      <c r="K359">
        <f t="shared" ca="1" si="34"/>
        <v>19</v>
      </c>
      <c r="L359">
        <f ca="1">MIN(DATEDIF(Tabla1[[#This Row],[FechaDesembolso]],TODAY(),"m"),Tabla1[[#This Row],[Plazos (Meses)]])</f>
        <v>19</v>
      </c>
      <c r="M359">
        <f t="shared" ca="1" si="35"/>
        <v>25</v>
      </c>
      <c r="N359" s="8" t="s">
        <v>1251</v>
      </c>
      <c r="O359" s="8" t="s">
        <v>1253</v>
      </c>
      <c r="P359" s="13">
        <f t="shared" ca="1" si="37"/>
        <v>39075.000000000051</v>
      </c>
      <c r="Q35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11028.096489586871</v>
      </c>
      <c r="R359" s="8" t="str">
        <f t="shared" ca="1" si="36"/>
        <v>Vigente</v>
      </c>
      <c r="S359" t="str">
        <f ca="1">IF(Tabla1[[#This Row],[En Mora]]="No","",DATEDIF((EDATE(Tabla1[[#This Row],[FechaDesembolso]],Tabla1[[#This Row],[Mes de Mora]])),TODAY(),"d"))</f>
        <v/>
      </c>
    </row>
    <row r="360" spans="1:19" x14ac:dyDescent="0.25">
      <c r="A360" t="s">
        <v>1202</v>
      </c>
      <c r="B360" t="s">
        <v>371</v>
      </c>
      <c r="C360" s="8" t="s">
        <v>33</v>
      </c>
      <c r="D360" s="8" t="str">
        <f>_xlfn.XLOOKUP(B360,Clientes!A:A,Clientes!G:G,"No encontrado",0)</f>
        <v>AG02</v>
      </c>
      <c r="E360" s="9">
        <v>46213</v>
      </c>
      <c r="F360" s="11">
        <v>6870</v>
      </c>
      <c r="G360" s="10">
        <v>0.25393720588894009</v>
      </c>
      <c r="H360" s="10">
        <f t="shared" si="32"/>
        <v>1.903628681329117E-2</v>
      </c>
      <c r="I360">
        <v>12</v>
      </c>
      <c r="J360" s="12">
        <f t="shared" si="33"/>
        <v>645.78570685384875</v>
      </c>
      <c r="K360">
        <f t="shared" ca="1" si="34"/>
        <v>1</v>
      </c>
      <c r="L360">
        <f ca="1">MIN(DATEDIF(Tabla1[[#This Row],[FechaDesembolso]],TODAY(),"m"),Tabla1[[#This Row],[Plazos (Meses)]])</f>
        <v>1</v>
      </c>
      <c r="M360">
        <f t="shared" ca="1" si="35"/>
        <v>11</v>
      </c>
      <c r="N360" s="8" t="s">
        <v>1251</v>
      </c>
      <c r="O360" s="8" t="s">
        <v>1253</v>
      </c>
      <c r="P360" s="13">
        <f t="shared" ca="1" si="37"/>
        <v>6870.0000000000009</v>
      </c>
      <c r="Q36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73.285706853848751</v>
      </c>
      <c r="R360" s="8" t="str">
        <f t="shared" ca="1" si="36"/>
        <v>Vigente</v>
      </c>
      <c r="S360" t="str">
        <f ca="1">IF(Tabla1[[#This Row],[En Mora]]="No","",DATEDIF((EDATE(Tabla1[[#This Row],[FechaDesembolso]],Tabla1[[#This Row],[Mes de Mora]])),TODAY(),"d"))</f>
        <v/>
      </c>
    </row>
    <row r="361" spans="1:19" x14ac:dyDescent="0.25">
      <c r="A361" t="s">
        <v>1203</v>
      </c>
      <c r="B361" t="s">
        <v>404</v>
      </c>
      <c r="C361" s="8" t="s">
        <v>33</v>
      </c>
      <c r="D361" s="8" t="str">
        <f>_xlfn.XLOOKUP(B361,Clientes!A:A,Clientes!G:G,"No encontrado",0)</f>
        <v>AG08</v>
      </c>
      <c r="E361" s="9">
        <v>46046</v>
      </c>
      <c r="F361" s="11">
        <v>21761</v>
      </c>
      <c r="G361" s="10">
        <v>0.42903495739904601</v>
      </c>
      <c r="H361" s="10">
        <f t="shared" si="32"/>
        <v>3.0196897703043568E-2</v>
      </c>
      <c r="I361">
        <v>22</v>
      </c>
      <c r="J361" s="12">
        <f t="shared" si="33"/>
        <v>1368.1408543302682</v>
      </c>
      <c r="K361">
        <f t="shared" ca="1" si="34"/>
        <v>6</v>
      </c>
      <c r="L361">
        <f ca="1">MIN(DATEDIF(Tabla1[[#This Row],[FechaDesembolso]],TODAY(),"m"),Tabla1[[#This Row],[Plazos (Meses)]])</f>
        <v>6</v>
      </c>
      <c r="M361">
        <f t="shared" ca="1" si="35"/>
        <v>16</v>
      </c>
      <c r="N361" s="8" t="s">
        <v>1251</v>
      </c>
      <c r="O361" s="8" t="s">
        <v>1253</v>
      </c>
      <c r="P361" s="13">
        <f t="shared" ca="1" si="37"/>
        <v>21760.999999999985</v>
      </c>
      <c r="Q36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2274.0269441634277</v>
      </c>
      <c r="R361" s="8" t="str">
        <f t="shared" ca="1" si="36"/>
        <v>Vigente</v>
      </c>
      <c r="S361" t="str">
        <f ca="1">IF(Tabla1[[#This Row],[En Mora]]="No","",DATEDIF((EDATE(Tabla1[[#This Row],[FechaDesembolso]],Tabla1[[#This Row],[Mes de Mora]])),TODAY(),"d"))</f>
        <v/>
      </c>
    </row>
    <row r="362" spans="1:19" x14ac:dyDescent="0.25">
      <c r="A362" t="s">
        <v>1204</v>
      </c>
      <c r="B362" t="s">
        <v>127</v>
      </c>
      <c r="C362" s="8" t="s">
        <v>33</v>
      </c>
      <c r="D362" s="8" t="str">
        <f>_xlfn.XLOOKUP(B362,Clientes!A:A,Clientes!G:G,"No encontrado",0)</f>
        <v>AG04</v>
      </c>
      <c r="E362" s="9">
        <v>45809</v>
      </c>
      <c r="F362" s="11">
        <v>19600</v>
      </c>
      <c r="G362" s="10">
        <v>0.33893827754512856</v>
      </c>
      <c r="H362" s="10">
        <f t="shared" si="32"/>
        <v>2.462129989970463E-2</v>
      </c>
      <c r="I362">
        <v>16</v>
      </c>
      <c r="J362" s="12">
        <f t="shared" si="33"/>
        <v>1496.9191499943377</v>
      </c>
      <c r="K362">
        <f t="shared" ca="1" si="34"/>
        <v>14</v>
      </c>
      <c r="L362">
        <f ca="1">MIN(DATEDIF(Tabla1[[#This Row],[FechaDesembolso]],TODAY(),"m"),Tabla1[[#This Row],[Plazos (Meses)]])</f>
        <v>14</v>
      </c>
      <c r="M362">
        <f t="shared" ca="1" si="35"/>
        <v>2</v>
      </c>
      <c r="N362" s="8" t="s">
        <v>1251</v>
      </c>
      <c r="O362" s="8" t="s">
        <v>1253</v>
      </c>
      <c r="P362" s="13">
        <f t="shared" ca="1" si="37"/>
        <v>19600.000000000029</v>
      </c>
      <c r="Q36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3806.8680999207272</v>
      </c>
      <c r="R362" s="8" t="str">
        <f t="shared" ca="1" si="36"/>
        <v>Vigente</v>
      </c>
      <c r="S362" t="str">
        <f ca="1">IF(Tabla1[[#This Row],[En Mora]]="No","",DATEDIF((EDATE(Tabla1[[#This Row],[FechaDesembolso]],Tabla1[[#This Row],[Mes de Mora]])),TODAY(),"d"))</f>
        <v/>
      </c>
    </row>
    <row r="363" spans="1:19" x14ac:dyDescent="0.25">
      <c r="A363" t="s">
        <v>1205</v>
      </c>
      <c r="B363" t="s">
        <v>359</v>
      </c>
      <c r="C363" s="8" t="s">
        <v>35</v>
      </c>
      <c r="D363" s="8" t="str">
        <f>_xlfn.XLOOKUP(B363,Clientes!A:A,Clientes!G:G,"No encontrado",0)</f>
        <v>AG03</v>
      </c>
      <c r="E363" s="9">
        <v>45942</v>
      </c>
      <c r="F363" s="11">
        <v>45654</v>
      </c>
      <c r="G363" s="10">
        <v>0.31313588790610214</v>
      </c>
      <c r="H363" s="10">
        <f t="shared" si="32"/>
        <v>2.2961147244535018E-2</v>
      </c>
      <c r="I363">
        <v>51</v>
      </c>
      <c r="J363" s="12">
        <f t="shared" si="33"/>
        <v>1528.4974886166628</v>
      </c>
      <c r="K363">
        <f t="shared" ca="1" si="34"/>
        <v>10</v>
      </c>
      <c r="L363">
        <f ca="1">MIN(DATEDIF(Tabla1[[#This Row],[FechaDesembolso]],TODAY(),"m"),Tabla1[[#This Row],[Plazos (Meses)]])</f>
        <v>10</v>
      </c>
      <c r="M363">
        <f t="shared" ca="1" si="35"/>
        <v>41</v>
      </c>
      <c r="N363" s="8" t="s">
        <v>1251</v>
      </c>
      <c r="O363" s="8" t="s">
        <v>1253</v>
      </c>
      <c r="P363" s="13">
        <f t="shared" ca="1" si="37"/>
        <v>45653.999999999993</v>
      </c>
      <c r="Q36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6333.2101802842772</v>
      </c>
      <c r="R363" s="8" t="str">
        <f t="shared" ca="1" si="36"/>
        <v>Vigente</v>
      </c>
      <c r="S363" t="str">
        <f ca="1">IF(Tabla1[[#This Row],[En Mora]]="No","",DATEDIF((EDATE(Tabla1[[#This Row],[FechaDesembolso]],Tabla1[[#This Row],[Mes de Mora]])),TODAY(),"d"))</f>
        <v/>
      </c>
    </row>
    <row r="364" spans="1:19" x14ac:dyDescent="0.25">
      <c r="A364" t="s">
        <v>1206</v>
      </c>
      <c r="B364" t="s">
        <v>729</v>
      </c>
      <c r="C364" s="8" t="s">
        <v>39</v>
      </c>
      <c r="D364" s="8" t="str">
        <f>_xlfn.XLOOKUP(B364,Clientes!A:A,Clientes!G:G,"No encontrado",0)</f>
        <v>AG02</v>
      </c>
      <c r="E364" s="9">
        <v>46209</v>
      </c>
      <c r="F364" s="11">
        <v>19664</v>
      </c>
      <c r="G364" s="10">
        <v>0.33987487791301191</v>
      </c>
      <c r="H364" s="10">
        <f t="shared" si="32"/>
        <v>2.4681008474056076E-2</v>
      </c>
      <c r="I364">
        <v>20</v>
      </c>
      <c r="J364" s="12">
        <f t="shared" si="33"/>
        <v>1257.5914012826909</v>
      </c>
      <c r="K364">
        <f t="shared" ca="1" si="34"/>
        <v>1</v>
      </c>
      <c r="L364">
        <f ca="1">MIN(DATEDIF(Tabla1[[#This Row],[FechaDesembolso]],TODAY(),"m"),Tabla1[[#This Row],[Plazos (Meses)]])</f>
        <v>1</v>
      </c>
      <c r="M364">
        <f t="shared" ca="1" si="35"/>
        <v>19</v>
      </c>
      <c r="N364" s="8" t="s">
        <v>1251</v>
      </c>
      <c r="O364" s="8" t="s">
        <v>1253</v>
      </c>
      <c r="P364" s="13">
        <f t="shared" ca="1" si="37"/>
        <v>19663.999999999985</v>
      </c>
      <c r="Q36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274.39140128269082</v>
      </c>
      <c r="R364" s="8" t="str">
        <f t="shared" ca="1" si="36"/>
        <v>Vigente</v>
      </c>
      <c r="S364" t="str">
        <f ca="1">IF(Tabla1[[#This Row],[En Mora]]="No","",DATEDIF((EDATE(Tabla1[[#This Row],[FechaDesembolso]],Tabla1[[#This Row],[Mes de Mora]])),TODAY(),"d"))</f>
        <v/>
      </c>
    </row>
    <row r="365" spans="1:19" x14ac:dyDescent="0.25">
      <c r="A365" t="s">
        <v>1207</v>
      </c>
      <c r="B365" t="s">
        <v>507</v>
      </c>
      <c r="C365" s="8" t="s">
        <v>33</v>
      </c>
      <c r="D365" s="8" t="str">
        <f>_xlfn.XLOOKUP(B365,Clientes!A:A,Clientes!G:G,"No encontrado",0)</f>
        <v>AG07</v>
      </c>
      <c r="E365" s="9">
        <v>46082</v>
      </c>
      <c r="F365" s="11">
        <v>37553</v>
      </c>
      <c r="G365" s="10">
        <v>0.38209261362552749</v>
      </c>
      <c r="H365" s="10">
        <f t="shared" si="32"/>
        <v>2.7333449639730167E-2</v>
      </c>
      <c r="I365">
        <v>33</v>
      </c>
      <c r="J365" s="12">
        <f t="shared" si="33"/>
        <v>1741.812285841637</v>
      </c>
      <c r="K365">
        <f t="shared" ca="1" si="34"/>
        <v>5</v>
      </c>
      <c r="L365">
        <f ca="1">MIN(DATEDIF(Tabla1[[#This Row],[FechaDesembolso]],TODAY(),"m"),Tabla1[[#This Row],[Plazos (Meses)]])</f>
        <v>5</v>
      </c>
      <c r="M365">
        <f t="shared" ca="1" si="35"/>
        <v>28</v>
      </c>
      <c r="N365" s="8" t="s">
        <v>1251</v>
      </c>
      <c r="O365" s="8" t="s">
        <v>1253</v>
      </c>
      <c r="P365" s="13">
        <f t="shared" ca="1" si="37"/>
        <v>37553.000000000022</v>
      </c>
      <c r="Q36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3019.2129443597009</v>
      </c>
      <c r="R365" s="8" t="str">
        <f t="shared" ca="1" si="36"/>
        <v>Vigente</v>
      </c>
      <c r="S365" t="str">
        <f ca="1">IF(Tabla1[[#This Row],[En Mora]]="No","",DATEDIF((EDATE(Tabla1[[#This Row],[FechaDesembolso]],Tabla1[[#This Row],[Mes de Mora]])),TODAY(),"d"))</f>
        <v/>
      </c>
    </row>
    <row r="366" spans="1:19" x14ac:dyDescent="0.25">
      <c r="A366" t="s">
        <v>1208</v>
      </c>
      <c r="B366" t="s">
        <v>802</v>
      </c>
      <c r="C366" s="8" t="s">
        <v>31</v>
      </c>
      <c r="D366" s="8" t="str">
        <f>_xlfn.XLOOKUP(B366,Clientes!A:A,Clientes!G:G,"No encontrado",0)</f>
        <v>AG06</v>
      </c>
      <c r="E366" s="9">
        <v>45550</v>
      </c>
      <c r="F366" s="11">
        <v>11902</v>
      </c>
      <c r="G366" s="10">
        <v>0.42145124279588586</v>
      </c>
      <c r="H366" s="10">
        <f t="shared" si="32"/>
        <v>2.9740191650931891E-2</v>
      </c>
      <c r="I366">
        <v>30</v>
      </c>
      <c r="J366" s="12">
        <f t="shared" si="33"/>
        <v>605.19370143791662</v>
      </c>
      <c r="K366">
        <f t="shared" ca="1" si="34"/>
        <v>22</v>
      </c>
      <c r="L366">
        <f ca="1">MIN(DATEDIF(Tabla1[[#This Row],[FechaDesembolso]],TODAY(),"m"),Tabla1[[#This Row],[Plazos (Meses)]])</f>
        <v>22</v>
      </c>
      <c r="M366">
        <f t="shared" ca="1" si="35"/>
        <v>8</v>
      </c>
      <c r="N366" s="8" t="s">
        <v>1251</v>
      </c>
      <c r="O366" s="8" t="s">
        <v>1253</v>
      </c>
      <c r="P366" s="13">
        <f t="shared" ca="1" si="37"/>
        <v>11902.000000000011</v>
      </c>
      <c r="Q36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4586.1280983008319</v>
      </c>
      <c r="R366" s="8" t="str">
        <f t="shared" ca="1" si="36"/>
        <v>Vigente</v>
      </c>
      <c r="S366" t="str">
        <f ca="1">IF(Tabla1[[#This Row],[En Mora]]="No","",DATEDIF((EDATE(Tabla1[[#This Row],[FechaDesembolso]],Tabla1[[#This Row],[Mes de Mora]])),TODAY(),"d"))</f>
        <v/>
      </c>
    </row>
    <row r="367" spans="1:19" x14ac:dyDescent="0.25">
      <c r="A367" t="s">
        <v>1209</v>
      </c>
      <c r="B367" t="s">
        <v>192</v>
      </c>
      <c r="C367" s="8" t="s">
        <v>37</v>
      </c>
      <c r="D367" s="8" t="str">
        <f>_xlfn.XLOOKUP(B367,Clientes!A:A,Clientes!G:G,"No encontrado",0)</f>
        <v>AG02</v>
      </c>
      <c r="E367" s="9">
        <v>46073</v>
      </c>
      <c r="F367" s="11">
        <v>166297</v>
      </c>
      <c r="G367" s="10">
        <v>0.12268917316556485</v>
      </c>
      <c r="H367" s="10">
        <f t="shared" si="32"/>
        <v>9.6905568694920508E-3</v>
      </c>
      <c r="I367">
        <v>195</v>
      </c>
      <c r="J367" s="12">
        <f t="shared" si="33"/>
        <v>1901.4973801817325</v>
      </c>
      <c r="K367">
        <f t="shared" ca="1" si="34"/>
        <v>5</v>
      </c>
      <c r="L367">
        <f ca="1">MIN(DATEDIF(Tabla1[[#This Row],[FechaDesembolso]],TODAY(),"m"),Tabla1[[#This Row],[Plazos (Meses)]])</f>
        <v>5</v>
      </c>
      <c r="M367">
        <f t="shared" ca="1" si="35"/>
        <v>190</v>
      </c>
      <c r="N367" s="8" t="s">
        <v>1251</v>
      </c>
      <c r="O367" s="8" t="s">
        <v>1253</v>
      </c>
      <c r="P367" s="13">
        <f t="shared" ca="1" si="37"/>
        <v>166296.99999999971</v>
      </c>
      <c r="Q36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5243.4612598830208</v>
      </c>
      <c r="R367" s="8" t="str">
        <f t="shared" ca="1" si="36"/>
        <v>Vigente</v>
      </c>
      <c r="S367" t="str">
        <f ca="1">IF(Tabla1[[#This Row],[En Mora]]="No","",DATEDIF((EDATE(Tabla1[[#This Row],[FechaDesembolso]],Tabla1[[#This Row],[Mes de Mora]])),TODAY(),"d"))</f>
        <v/>
      </c>
    </row>
    <row r="368" spans="1:19" x14ac:dyDescent="0.25">
      <c r="A368" t="s">
        <v>1210</v>
      </c>
      <c r="B368" t="s">
        <v>744</v>
      </c>
      <c r="C368" s="8" t="s">
        <v>35</v>
      </c>
      <c r="D368" s="8" t="str">
        <f>_xlfn.XLOOKUP(B368,Clientes!A:A,Clientes!G:G,"No encontrado",0)</f>
        <v>AG07</v>
      </c>
      <c r="E368" s="9">
        <v>46200</v>
      </c>
      <c r="F368" s="11">
        <v>12973</v>
      </c>
      <c r="G368" s="10">
        <v>0.28302125353949148</v>
      </c>
      <c r="H368" s="10">
        <f t="shared" si="32"/>
        <v>2.0985296072985049E-2</v>
      </c>
      <c r="I368">
        <v>29</v>
      </c>
      <c r="J368" s="12">
        <f t="shared" si="33"/>
        <v>601.72538421570857</v>
      </c>
      <c r="K368">
        <f t="shared" ca="1" si="34"/>
        <v>1</v>
      </c>
      <c r="L368">
        <f ca="1">MIN(DATEDIF(Tabla1[[#This Row],[FechaDesembolso]],TODAY(),"m"),Tabla1[[#This Row],[Plazos (Meses)]])</f>
        <v>1</v>
      </c>
      <c r="M368">
        <f t="shared" ca="1" si="35"/>
        <v>28</v>
      </c>
      <c r="N368" s="8" t="s">
        <v>1251</v>
      </c>
      <c r="O368" s="8" t="s">
        <v>1253</v>
      </c>
      <c r="P368" s="13">
        <f t="shared" ca="1" si="37"/>
        <v>12973</v>
      </c>
      <c r="Q36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154.38055662950163</v>
      </c>
      <c r="R368" s="8" t="str">
        <f t="shared" ca="1" si="36"/>
        <v>Vigente</v>
      </c>
      <c r="S368" t="str">
        <f ca="1">IF(Tabla1[[#This Row],[En Mora]]="No","",DATEDIF((EDATE(Tabla1[[#This Row],[FechaDesembolso]],Tabla1[[#This Row],[Mes de Mora]])),TODAY(),"d"))</f>
        <v/>
      </c>
    </row>
    <row r="369" spans="1:19" x14ac:dyDescent="0.25">
      <c r="A369" t="s">
        <v>1211</v>
      </c>
      <c r="B369" t="s">
        <v>359</v>
      </c>
      <c r="C369" s="8" t="s">
        <v>33</v>
      </c>
      <c r="D369" s="8" t="str">
        <f>_xlfn.XLOOKUP(B369,Clientes!A:A,Clientes!G:G,"No encontrado",0)</f>
        <v>AG03</v>
      </c>
      <c r="E369" s="9">
        <v>46182</v>
      </c>
      <c r="F369" s="11">
        <v>7423</v>
      </c>
      <c r="G369" s="10">
        <v>0.43343637904348903</v>
      </c>
      <c r="H369" s="10">
        <f t="shared" si="32"/>
        <v>3.0460942009803649E-2</v>
      </c>
      <c r="I369">
        <v>43</v>
      </c>
      <c r="J369" s="12">
        <f t="shared" si="33"/>
        <v>311.96287852920278</v>
      </c>
      <c r="K369">
        <f t="shared" ca="1" si="34"/>
        <v>2</v>
      </c>
      <c r="L369">
        <f ca="1">MIN(DATEDIF(Tabla1[[#This Row],[FechaDesembolso]],TODAY(),"m"),Tabla1[[#This Row],[Plazos (Meses)]])</f>
        <v>2</v>
      </c>
      <c r="M369">
        <f t="shared" ca="1" si="35"/>
        <v>41</v>
      </c>
      <c r="N369" s="8" t="s">
        <v>1251</v>
      </c>
      <c r="O369" s="8" t="s">
        <v>1253</v>
      </c>
      <c r="P369" s="13">
        <f t="shared" ca="1" si="37"/>
        <v>7423.0000000000009</v>
      </c>
      <c r="Q36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278.66994310491719</v>
      </c>
      <c r="R369" s="8" t="str">
        <f t="shared" ca="1" si="36"/>
        <v>Vigente</v>
      </c>
      <c r="S369" t="str">
        <f ca="1">IF(Tabla1[[#This Row],[En Mora]]="No","",DATEDIF((EDATE(Tabla1[[#This Row],[FechaDesembolso]],Tabla1[[#This Row],[Mes de Mora]])),TODAY(),"d"))</f>
        <v/>
      </c>
    </row>
    <row r="370" spans="1:19" x14ac:dyDescent="0.25">
      <c r="A370" t="s">
        <v>1212</v>
      </c>
      <c r="B370" t="s">
        <v>416</v>
      </c>
      <c r="C370" s="8" t="s">
        <v>37</v>
      </c>
      <c r="D370" s="8" t="str">
        <f>_xlfn.XLOOKUP(B370,Clientes!A:A,Clientes!G:G,"No encontrado",0)</f>
        <v>AG03</v>
      </c>
      <c r="E370" s="9">
        <v>46184</v>
      </c>
      <c r="F370" s="11">
        <v>278642</v>
      </c>
      <c r="G370" s="10">
        <v>0.11243459121979082</v>
      </c>
      <c r="H370" s="10">
        <f t="shared" si="32"/>
        <v>8.9187823393381827E-3</v>
      </c>
      <c r="I370">
        <v>177</v>
      </c>
      <c r="J370" s="12">
        <f t="shared" si="33"/>
        <v>3136.6523148413903</v>
      </c>
      <c r="K370">
        <f t="shared" ca="1" si="34"/>
        <v>2</v>
      </c>
      <c r="L370">
        <f ca="1">MIN(DATEDIF(Tabla1[[#This Row],[FechaDesembolso]],TODAY(),"m"),Tabla1[[#This Row],[Plazos (Meses)]])</f>
        <v>2</v>
      </c>
      <c r="M370">
        <f t="shared" ca="1" si="35"/>
        <v>175</v>
      </c>
      <c r="N370" s="8" t="s">
        <v>1251</v>
      </c>
      <c r="O370" s="8" t="s">
        <v>1253</v>
      </c>
      <c r="P370" s="13">
        <f t="shared" ca="1" si="37"/>
        <v>278641.99999999994</v>
      </c>
      <c r="Q37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3124.8074545415375</v>
      </c>
      <c r="R370" s="8" t="str">
        <f t="shared" ca="1" si="36"/>
        <v>Vigente</v>
      </c>
      <c r="S370" t="str">
        <f ca="1">IF(Tabla1[[#This Row],[En Mora]]="No","",DATEDIF((EDATE(Tabla1[[#This Row],[FechaDesembolso]],Tabla1[[#This Row],[Mes de Mora]])),TODAY(),"d"))</f>
        <v/>
      </c>
    </row>
    <row r="371" spans="1:19" x14ac:dyDescent="0.25">
      <c r="A371" t="s">
        <v>1213</v>
      </c>
      <c r="B371" t="s">
        <v>540</v>
      </c>
      <c r="C371" s="8" t="s">
        <v>39</v>
      </c>
      <c r="D371" s="8" t="str">
        <f>_xlfn.XLOOKUP(B371,Clientes!A:A,Clientes!G:G,"No encontrado",0)</f>
        <v>AG05</v>
      </c>
      <c r="E371" s="9">
        <v>45105</v>
      </c>
      <c r="F371" s="11">
        <v>13846</v>
      </c>
      <c r="G371" s="10">
        <v>0.29929943588051128</v>
      </c>
      <c r="H371" s="10">
        <f t="shared" si="32"/>
        <v>2.2058538630463254E-2</v>
      </c>
      <c r="I371">
        <v>12</v>
      </c>
      <c r="J371" s="12">
        <f t="shared" si="33"/>
        <v>1325.8805998422476</v>
      </c>
      <c r="K371">
        <f t="shared" ca="1" si="34"/>
        <v>12</v>
      </c>
      <c r="L371">
        <f ca="1">MIN(DATEDIF(Tabla1[[#This Row],[FechaDesembolso]],TODAY(),"m"),Tabla1[[#This Row],[Plazos (Meses)]])</f>
        <v>12</v>
      </c>
      <c r="M371">
        <f t="shared" ca="1" si="35"/>
        <v>0</v>
      </c>
      <c r="N371" s="8" t="s">
        <v>1251</v>
      </c>
      <c r="O371" s="8" t="s">
        <v>1253</v>
      </c>
      <c r="P371" s="13">
        <f t="shared" ca="1" si="37"/>
        <v>0</v>
      </c>
      <c r="Q37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71" s="8" t="str">
        <f t="shared" ca="1" si="36"/>
        <v>Cancelado</v>
      </c>
      <c r="S371" t="str">
        <f ca="1">IF(Tabla1[[#This Row],[En Mora]]="No","",DATEDIF((EDATE(Tabla1[[#This Row],[FechaDesembolso]],Tabla1[[#This Row],[Mes de Mora]])),TODAY(),"d"))</f>
        <v/>
      </c>
    </row>
    <row r="372" spans="1:19" x14ac:dyDescent="0.25">
      <c r="A372" t="s">
        <v>1214</v>
      </c>
      <c r="B372" t="s">
        <v>633</v>
      </c>
      <c r="C372" s="8" t="s">
        <v>37</v>
      </c>
      <c r="D372" s="8" t="str">
        <f>_xlfn.XLOOKUP(B372,Clientes!A:A,Clientes!G:G,"No encontrado",0)</f>
        <v>AG05</v>
      </c>
      <c r="E372" s="9">
        <v>45860</v>
      </c>
      <c r="F372" s="11">
        <v>181951</v>
      </c>
      <c r="G372" s="10">
        <v>9.0287755749666118E-2</v>
      </c>
      <c r="H372" s="10">
        <f t="shared" si="32"/>
        <v>7.229478869303918E-3</v>
      </c>
      <c r="I372">
        <v>66</v>
      </c>
      <c r="J372" s="12">
        <f t="shared" si="33"/>
        <v>3476.4121663685737</v>
      </c>
      <c r="K372">
        <f t="shared" ca="1" si="34"/>
        <v>11</v>
      </c>
      <c r="L372">
        <f ca="1">MIN(DATEDIF(Tabla1[[#This Row],[FechaDesembolso]],TODAY(),"m"),Tabla1[[#This Row],[Plazos (Meses)]])</f>
        <v>12</v>
      </c>
      <c r="M372">
        <f t="shared" ca="1" si="35"/>
        <v>55</v>
      </c>
      <c r="N372" s="8" t="s">
        <v>1252</v>
      </c>
      <c r="O372" s="8">
        <v>11</v>
      </c>
      <c r="P372" s="13">
        <f t="shared" ca="1" si="37"/>
        <v>181950.99999999936</v>
      </c>
      <c r="Q37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7915.3671633876456</v>
      </c>
      <c r="R372" s="8" t="str">
        <f t="shared" si="36"/>
        <v>En mora</v>
      </c>
      <c r="S372">
        <f ca="1">IF(Tabla1[[#This Row],[En Mora]]="No","",DATEDIF((EDATE(Tabla1[[#This Row],[FechaDesembolso]],Tabla1[[#This Row],[Mes de Mora]])),TODAY(),"d"))</f>
        <v>51</v>
      </c>
    </row>
    <row r="373" spans="1:19" x14ac:dyDescent="0.25">
      <c r="A373" t="s">
        <v>1215</v>
      </c>
      <c r="B373" t="s">
        <v>507</v>
      </c>
      <c r="C373" s="8" t="s">
        <v>37</v>
      </c>
      <c r="D373" s="8" t="str">
        <f>_xlfn.XLOOKUP(B373,Clientes!A:A,Clientes!G:G,"No encontrado",0)</f>
        <v>AG07</v>
      </c>
      <c r="E373" s="9">
        <v>45991</v>
      </c>
      <c r="F373" s="11">
        <v>287213</v>
      </c>
      <c r="G373" s="10">
        <v>0.13852782532719032</v>
      </c>
      <c r="H373" s="10">
        <f t="shared" si="32"/>
        <v>1.0869990904131654E-2</v>
      </c>
      <c r="I373">
        <v>63</v>
      </c>
      <c r="J373" s="12">
        <f t="shared" si="33"/>
        <v>6320.5192187634921</v>
      </c>
      <c r="K373">
        <f t="shared" ca="1" si="34"/>
        <v>8</v>
      </c>
      <c r="L373">
        <f ca="1">MIN(DATEDIF(Tabla1[[#This Row],[FechaDesembolso]],TODAY(),"m"),Tabla1[[#This Row],[Plazos (Meses)]])</f>
        <v>8</v>
      </c>
      <c r="M373">
        <f t="shared" ca="1" si="35"/>
        <v>55</v>
      </c>
      <c r="N373" s="8" t="s">
        <v>1251</v>
      </c>
      <c r="O373" s="8" t="s">
        <v>1253</v>
      </c>
      <c r="P373" s="13">
        <f t="shared" ca="1" si="37"/>
        <v>287212.99999999936</v>
      </c>
      <c r="Q37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14092.661686615869</v>
      </c>
      <c r="R373" s="8" t="str">
        <f t="shared" ca="1" si="36"/>
        <v>Vigente</v>
      </c>
      <c r="S373" t="str">
        <f ca="1">IF(Tabla1[[#This Row],[En Mora]]="No","",DATEDIF((EDATE(Tabla1[[#This Row],[FechaDesembolso]],Tabla1[[#This Row],[Mes de Mora]])),TODAY(),"d"))</f>
        <v/>
      </c>
    </row>
    <row r="374" spans="1:19" x14ac:dyDescent="0.25">
      <c r="A374" t="s">
        <v>1216</v>
      </c>
      <c r="B374" t="s">
        <v>669</v>
      </c>
      <c r="C374" s="8" t="s">
        <v>33</v>
      </c>
      <c r="D374" s="8" t="str">
        <f>_xlfn.XLOOKUP(B374,Clientes!A:A,Clientes!G:G,"No encontrado",0)</f>
        <v>AG08</v>
      </c>
      <c r="E374" s="9">
        <v>45702</v>
      </c>
      <c r="F374" s="11">
        <v>39302</v>
      </c>
      <c r="G374" s="10">
        <v>0.25999841705472837</v>
      </c>
      <c r="H374" s="10">
        <f t="shared" si="32"/>
        <v>1.9445860233208379E-2</v>
      </c>
      <c r="I374">
        <v>27</v>
      </c>
      <c r="J374" s="12">
        <f t="shared" si="33"/>
        <v>1884.8373819225294</v>
      </c>
      <c r="K374">
        <f t="shared" ca="1" si="34"/>
        <v>17</v>
      </c>
      <c r="L374">
        <f ca="1">MIN(DATEDIF(Tabla1[[#This Row],[FechaDesembolso]],TODAY(),"m"),Tabla1[[#This Row],[Plazos (Meses)]])</f>
        <v>17</v>
      </c>
      <c r="M374">
        <f t="shared" ca="1" si="35"/>
        <v>10</v>
      </c>
      <c r="N374" s="8" t="s">
        <v>1251</v>
      </c>
      <c r="O374" s="8" t="s">
        <v>1253</v>
      </c>
      <c r="P374" s="13">
        <f t="shared" ca="1" si="37"/>
        <v>39302.000000000029</v>
      </c>
      <c r="Q37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7296.5317889792968</v>
      </c>
      <c r="R374" s="8" t="str">
        <f t="shared" ca="1" si="36"/>
        <v>Vigente</v>
      </c>
      <c r="S374" t="str">
        <f ca="1">IF(Tabla1[[#This Row],[En Mora]]="No","",DATEDIF((EDATE(Tabla1[[#This Row],[FechaDesembolso]],Tabla1[[#This Row],[Mes de Mora]])),TODAY(),"d"))</f>
        <v/>
      </c>
    </row>
    <row r="375" spans="1:19" x14ac:dyDescent="0.25">
      <c r="A375" t="s">
        <v>1217</v>
      </c>
      <c r="B375" t="s">
        <v>239</v>
      </c>
      <c r="C375" s="8" t="s">
        <v>31</v>
      </c>
      <c r="D375" s="8" t="str">
        <f>_xlfn.XLOOKUP(B375,Clientes!A:A,Clientes!G:G,"No encontrado",0)</f>
        <v>AG02</v>
      </c>
      <c r="E375" s="9">
        <v>45957</v>
      </c>
      <c r="F375" s="11">
        <v>2042</v>
      </c>
      <c r="G375" s="10">
        <v>0.5291211612081832</v>
      </c>
      <c r="H375" s="10">
        <f t="shared" si="32"/>
        <v>3.6024815940557398E-2</v>
      </c>
      <c r="I375">
        <v>24</v>
      </c>
      <c r="J375" s="12">
        <f t="shared" si="33"/>
        <v>128.53356084555301</v>
      </c>
      <c r="K375">
        <f t="shared" ca="1" si="34"/>
        <v>9</v>
      </c>
      <c r="L375">
        <f ca="1">MIN(DATEDIF(Tabla1[[#This Row],[FechaDesembolso]],TODAY(),"m"),Tabla1[[#This Row],[Plazos (Meses)]])</f>
        <v>9</v>
      </c>
      <c r="M375">
        <f t="shared" ca="1" si="35"/>
        <v>15</v>
      </c>
      <c r="N375" s="8" t="s">
        <v>1251</v>
      </c>
      <c r="O375" s="8" t="s">
        <v>1253</v>
      </c>
      <c r="P375" s="13">
        <f t="shared" ca="1" si="37"/>
        <v>2042.0000000000007</v>
      </c>
      <c r="Q37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391.05204760997719</v>
      </c>
      <c r="R375" s="8" t="str">
        <f t="shared" ca="1" si="36"/>
        <v>Vigente</v>
      </c>
      <c r="S375" t="str">
        <f ca="1">IF(Tabla1[[#This Row],[En Mora]]="No","",DATEDIF((EDATE(Tabla1[[#This Row],[FechaDesembolso]],Tabla1[[#This Row],[Mes de Mora]])),TODAY(),"d"))</f>
        <v/>
      </c>
    </row>
    <row r="376" spans="1:19" x14ac:dyDescent="0.25">
      <c r="A376" t="s">
        <v>1218</v>
      </c>
      <c r="B376" t="s">
        <v>735</v>
      </c>
      <c r="C376" s="8" t="s">
        <v>33</v>
      </c>
      <c r="D376" s="8" t="str">
        <f>_xlfn.XLOOKUP(B376,Clientes!A:A,Clientes!G:G,"No encontrado",0)</f>
        <v>AG04</v>
      </c>
      <c r="E376" s="9">
        <v>45789</v>
      </c>
      <c r="F376" s="11">
        <v>12206</v>
      </c>
      <c r="G376" s="10">
        <v>0.31390427536212806</v>
      </c>
      <c r="H376" s="10">
        <f t="shared" si="32"/>
        <v>2.3011016403129858E-2</v>
      </c>
      <c r="I376">
        <v>42</v>
      </c>
      <c r="J376" s="12">
        <f t="shared" si="33"/>
        <v>456.41795968071187</v>
      </c>
      <c r="K376">
        <f t="shared" ca="1" si="34"/>
        <v>15</v>
      </c>
      <c r="L376">
        <f ca="1">MIN(DATEDIF(Tabla1[[#This Row],[FechaDesembolso]],TODAY(),"m"),Tabla1[[#This Row],[Plazos (Meses)]])</f>
        <v>15</v>
      </c>
      <c r="M376">
        <f t="shared" ca="1" si="35"/>
        <v>27</v>
      </c>
      <c r="N376" s="8" t="s">
        <v>1251</v>
      </c>
      <c r="O376" s="8" t="s">
        <v>1253</v>
      </c>
      <c r="P376" s="13">
        <f t="shared" ca="1" si="37"/>
        <v>12205.999999999987</v>
      </c>
      <c r="Q37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2486.9836809249646</v>
      </c>
      <c r="R376" s="8" t="str">
        <f t="shared" ca="1" si="36"/>
        <v>Vigente</v>
      </c>
      <c r="S376" t="str">
        <f ca="1">IF(Tabla1[[#This Row],[En Mora]]="No","",DATEDIF((EDATE(Tabla1[[#This Row],[FechaDesembolso]],Tabla1[[#This Row],[Mes de Mora]])),TODAY(),"d"))</f>
        <v/>
      </c>
    </row>
    <row r="377" spans="1:19" x14ac:dyDescent="0.25">
      <c r="A377" t="s">
        <v>1219</v>
      </c>
      <c r="B377" t="s">
        <v>633</v>
      </c>
      <c r="C377" s="8" t="s">
        <v>37</v>
      </c>
      <c r="D377" s="8" t="str">
        <f>_xlfn.XLOOKUP(B377,Clientes!A:A,Clientes!G:G,"No encontrado",0)</f>
        <v>AG05</v>
      </c>
      <c r="E377" s="9">
        <v>45693</v>
      </c>
      <c r="F377" s="11">
        <v>261169</v>
      </c>
      <c r="G377" s="10">
        <v>0.13445306321473205</v>
      </c>
      <c r="H377" s="10">
        <f t="shared" si="32"/>
        <v>1.0568005386493828E-2</v>
      </c>
      <c r="I377">
        <v>64</v>
      </c>
      <c r="J377" s="12">
        <f t="shared" si="33"/>
        <v>5635.9000746602514</v>
      </c>
      <c r="K377">
        <f t="shared" ca="1" si="34"/>
        <v>18</v>
      </c>
      <c r="L377">
        <f ca="1">MIN(DATEDIF(Tabla1[[#This Row],[FechaDesembolso]],TODAY(),"m"),Tabla1[[#This Row],[Plazos (Meses)]])</f>
        <v>18</v>
      </c>
      <c r="M377">
        <f t="shared" ca="1" si="35"/>
        <v>46</v>
      </c>
      <c r="N377" s="8" t="s">
        <v>1251</v>
      </c>
      <c r="O377" s="8" t="s">
        <v>1253</v>
      </c>
      <c r="P377" s="13">
        <f t="shared" ca="1" si="37"/>
        <v>261168.99999999924</v>
      </c>
      <c r="Q37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27992.420093884524</v>
      </c>
      <c r="R377" s="8" t="str">
        <f t="shared" ca="1" si="36"/>
        <v>Vigente</v>
      </c>
      <c r="S377" t="str">
        <f ca="1">IF(Tabla1[[#This Row],[En Mora]]="No","",DATEDIF((EDATE(Tabla1[[#This Row],[FechaDesembolso]],Tabla1[[#This Row],[Mes de Mora]])),TODAY(),"d"))</f>
        <v/>
      </c>
    </row>
    <row r="378" spans="1:19" x14ac:dyDescent="0.25">
      <c r="A378" t="s">
        <v>1220</v>
      </c>
      <c r="B378" t="s">
        <v>807</v>
      </c>
      <c r="C378" s="8" t="s">
        <v>35</v>
      </c>
      <c r="D378" s="8" t="str">
        <f>_xlfn.XLOOKUP(B378,Clientes!A:A,Clientes!G:G,"No encontrado",0)</f>
        <v>AG08</v>
      </c>
      <c r="E378" s="9">
        <v>45401</v>
      </c>
      <c r="F378" s="11">
        <v>62458</v>
      </c>
      <c r="G378" s="10">
        <v>0.29903315870870173</v>
      </c>
      <c r="H378" s="10">
        <f t="shared" si="32"/>
        <v>2.2041082016527103E-2</v>
      </c>
      <c r="I378">
        <v>47</v>
      </c>
      <c r="J378" s="12">
        <f t="shared" si="33"/>
        <v>2147.3508832690022</v>
      </c>
      <c r="K378">
        <f t="shared" ca="1" si="34"/>
        <v>11</v>
      </c>
      <c r="L378">
        <f ca="1">MIN(DATEDIF(Tabla1[[#This Row],[FechaDesembolso]],TODAY(),"m"),Tabla1[[#This Row],[Plazos (Meses)]])</f>
        <v>27</v>
      </c>
      <c r="M378">
        <f t="shared" ca="1" si="35"/>
        <v>36</v>
      </c>
      <c r="N378" s="8" t="s">
        <v>1252</v>
      </c>
      <c r="O378" s="8">
        <v>11</v>
      </c>
      <c r="P378" s="13">
        <f t="shared" ca="1" si="37"/>
        <v>62458.000000000007</v>
      </c>
      <c r="Q37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9003.0299287249836</v>
      </c>
      <c r="R378" s="8" t="str">
        <f t="shared" si="36"/>
        <v>En mora</v>
      </c>
      <c r="S378">
        <f ca="1">IF(Tabla1[[#This Row],[En Mora]]="No","",DATEDIF((EDATE(Tabla1[[#This Row],[FechaDesembolso]],Tabla1[[#This Row],[Mes de Mora]])),TODAY(),"d"))</f>
        <v>511</v>
      </c>
    </row>
    <row r="379" spans="1:19" x14ac:dyDescent="0.25">
      <c r="A379" t="s">
        <v>1221</v>
      </c>
      <c r="B379" t="s">
        <v>570</v>
      </c>
      <c r="C379" s="8" t="s">
        <v>35</v>
      </c>
      <c r="D379" s="8" t="str">
        <f>_xlfn.XLOOKUP(B379,Clientes!A:A,Clientes!G:G,"No encontrado",0)</f>
        <v>AG05</v>
      </c>
      <c r="E379" s="9">
        <v>45520</v>
      </c>
      <c r="F379" s="11">
        <v>36105</v>
      </c>
      <c r="G379" s="10">
        <v>0.26965164752522036</v>
      </c>
      <c r="H379" s="10">
        <f t="shared" si="32"/>
        <v>2.0094442942344637E-2</v>
      </c>
      <c r="I379">
        <v>37</v>
      </c>
      <c r="J379" s="12">
        <f t="shared" si="33"/>
        <v>1392.4459661010378</v>
      </c>
      <c r="K379">
        <f t="shared" ca="1" si="34"/>
        <v>23</v>
      </c>
      <c r="L379">
        <f ca="1">MIN(DATEDIF(Tabla1[[#This Row],[FechaDesembolso]],TODAY(),"m"),Tabla1[[#This Row],[Plazos (Meses)]])</f>
        <v>23</v>
      </c>
      <c r="M379">
        <f t="shared" ca="1" si="35"/>
        <v>14</v>
      </c>
      <c r="N379" s="8" t="s">
        <v>1251</v>
      </c>
      <c r="O379" s="8" t="s">
        <v>1253</v>
      </c>
      <c r="P379" s="13">
        <f t="shared" ca="1" si="37"/>
        <v>36105.000000000029</v>
      </c>
      <c r="Q37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9582.6085716752204</v>
      </c>
      <c r="R379" s="8" t="str">
        <f t="shared" ca="1" si="36"/>
        <v>Vigente</v>
      </c>
      <c r="S379" t="str">
        <f ca="1">IF(Tabla1[[#This Row],[En Mora]]="No","",DATEDIF((EDATE(Tabla1[[#This Row],[FechaDesembolso]],Tabla1[[#This Row],[Mes de Mora]])),TODAY(),"d"))</f>
        <v/>
      </c>
    </row>
    <row r="380" spans="1:19" x14ac:dyDescent="0.25">
      <c r="A380" t="s">
        <v>1222</v>
      </c>
      <c r="B380" t="s">
        <v>516</v>
      </c>
      <c r="C380" s="8" t="s">
        <v>33</v>
      </c>
      <c r="D380" s="8" t="str">
        <f>_xlfn.XLOOKUP(B380,Clientes!A:A,Clientes!G:G,"No encontrado",0)</f>
        <v>AG06</v>
      </c>
      <c r="E380" s="9">
        <v>46000</v>
      </c>
      <c r="F380" s="11">
        <v>22459</v>
      </c>
      <c r="G380" s="10">
        <v>0.44095511430517681</v>
      </c>
      <c r="H380" s="10">
        <f t="shared" si="32"/>
        <v>3.0910281740984091E-2</v>
      </c>
      <c r="I380">
        <v>13</v>
      </c>
      <c r="J380" s="12">
        <f t="shared" si="33"/>
        <v>2124.1224293760642</v>
      </c>
      <c r="K380">
        <f t="shared" ca="1" si="34"/>
        <v>8</v>
      </c>
      <c r="L380">
        <f ca="1">MIN(DATEDIF(Tabla1[[#This Row],[FechaDesembolso]],TODAY(),"m"),Tabla1[[#This Row],[Plazos (Meses)]])</f>
        <v>8</v>
      </c>
      <c r="M380">
        <f t="shared" ca="1" si="35"/>
        <v>5</v>
      </c>
      <c r="N380" s="8" t="s">
        <v>1251</v>
      </c>
      <c r="O380" s="8" t="s">
        <v>1253</v>
      </c>
      <c r="P380" s="13">
        <f t="shared" ca="1" si="37"/>
        <v>22459.000000000033</v>
      </c>
      <c r="Q38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3172.0563580854373</v>
      </c>
      <c r="R380" s="8" t="str">
        <f t="shared" ca="1" si="36"/>
        <v>Vigente</v>
      </c>
      <c r="S380" t="str">
        <f ca="1">IF(Tabla1[[#This Row],[En Mora]]="No","",DATEDIF((EDATE(Tabla1[[#This Row],[FechaDesembolso]],Tabla1[[#This Row],[Mes de Mora]])),TODAY(),"d"))</f>
        <v/>
      </c>
    </row>
    <row r="381" spans="1:19" x14ac:dyDescent="0.25">
      <c r="A381" t="s">
        <v>1223</v>
      </c>
      <c r="B381" t="s">
        <v>362</v>
      </c>
      <c r="C381" s="8" t="s">
        <v>33</v>
      </c>
      <c r="D381" s="8" t="str">
        <f>_xlfn.XLOOKUP(B381,Clientes!A:A,Clientes!G:G,"No encontrado",0)</f>
        <v>AG04</v>
      </c>
      <c r="E381" s="9">
        <v>46178</v>
      </c>
      <c r="F381" s="11">
        <v>42205</v>
      </c>
      <c r="G381" s="10">
        <v>0.25464127686804944</v>
      </c>
      <c r="H381" s="10">
        <f t="shared" si="32"/>
        <v>1.9083955953475007E-2</v>
      </c>
      <c r="I381">
        <v>34</v>
      </c>
      <c r="J381" s="12">
        <f t="shared" si="33"/>
        <v>1698.6966051015042</v>
      </c>
      <c r="K381">
        <f t="shared" ca="1" si="34"/>
        <v>2</v>
      </c>
      <c r="L381">
        <f ca="1">MIN(DATEDIF(Tabla1[[#This Row],[FechaDesembolso]],TODAY(),"m"),Tabla1[[#This Row],[Plazos (Meses)]])</f>
        <v>2</v>
      </c>
      <c r="M381">
        <f t="shared" ca="1" si="35"/>
        <v>32</v>
      </c>
      <c r="N381" s="8" t="s">
        <v>1251</v>
      </c>
      <c r="O381" s="8" t="s">
        <v>1253</v>
      </c>
      <c r="P381" s="13">
        <f t="shared" ca="1" si="37"/>
        <v>42204.99999999992</v>
      </c>
      <c r="Q38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914.7461513794791</v>
      </c>
      <c r="R381" s="8" t="str">
        <f t="shared" ca="1" si="36"/>
        <v>Vigente</v>
      </c>
      <c r="S381" t="str">
        <f ca="1">IF(Tabla1[[#This Row],[En Mora]]="No","",DATEDIF((EDATE(Tabla1[[#This Row],[FechaDesembolso]],Tabla1[[#This Row],[Mes de Mora]])),TODAY(),"d"))</f>
        <v/>
      </c>
    </row>
    <row r="382" spans="1:19" x14ac:dyDescent="0.25">
      <c r="A382" t="s">
        <v>1224</v>
      </c>
      <c r="B382" t="s">
        <v>120</v>
      </c>
      <c r="C382" s="8" t="s">
        <v>33</v>
      </c>
      <c r="D382" s="8" t="str">
        <f>_xlfn.XLOOKUP(B382,Clientes!A:A,Clientes!G:G,"No encontrado",0)</f>
        <v>AG05</v>
      </c>
      <c r="E382" s="9">
        <v>46093</v>
      </c>
      <c r="F382" s="11">
        <v>10689</v>
      </c>
      <c r="G382" s="10">
        <v>0.27725326373044923</v>
      </c>
      <c r="H382" s="10">
        <f t="shared" si="32"/>
        <v>2.0602007924629184E-2</v>
      </c>
      <c r="I382">
        <v>7</v>
      </c>
      <c r="J382" s="12">
        <f t="shared" si="33"/>
        <v>1655.4023276316223</v>
      </c>
      <c r="K382">
        <f t="shared" ca="1" si="34"/>
        <v>5</v>
      </c>
      <c r="L382">
        <f ca="1">MIN(DATEDIF(Tabla1[[#This Row],[FechaDesembolso]],TODAY(),"m"),Tabla1[[#This Row],[Plazos (Meses)]])</f>
        <v>5</v>
      </c>
      <c r="M382">
        <f t="shared" ca="1" si="35"/>
        <v>2</v>
      </c>
      <c r="N382" s="8" t="s">
        <v>1251</v>
      </c>
      <c r="O382" s="8" t="s">
        <v>1253</v>
      </c>
      <c r="P382" s="13">
        <f t="shared" ca="1" si="37"/>
        <v>10688.999999999984</v>
      </c>
      <c r="Q38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642.01163815811151</v>
      </c>
      <c r="R382" s="8" t="str">
        <f t="shared" ca="1" si="36"/>
        <v>Vigente</v>
      </c>
      <c r="S382" t="str">
        <f ca="1">IF(Tabla1[[#This Row],[En Mora]]="No","",DATEDIF((EDATE(Tabla1[[#This Row],[FechaDesembolso]],Tabla1[[#This Row],[Mes de Mora]])),TODAY(),"d"))</f>
        <v/>
      </c>
    </row>
    <row r="383" spans="1:19" x14ac:dyDescent="0.25">
      <c r="A383" t="s">
        <v>1225</v>
      </c>
      <c r="B383" t="s">
        <v>149</v>
      </c>
      <c r="C383" s="8" t="s">
        <v>37</v>
      </c>
      <c r="D383" s="8" t="str">
        <f>_xlfn.XLOOKUP(B383,Clientes!A:A,Clientes!G:G,"No encontrado",0)</f>
        <v>AG08</v>
      </c>
      <c r="E383" s="9">
        <v>45403</v>
      </c>
      <c r="F383" s="11">
        <v>223013</v>
      </c>
      <c r="G383" s="10">
        <v>0.12872681077890591</v>
      </c>
      <c r="H383" s="10">
        <f t="shared" si="32"/>
        <v>1.0141941160553447E-2</v>
      </c>
      <c r="I383">
        <v>217</v>
      </c>
      <c r="J383" s="12">
        <f t="shared" si="33"/>
        <v>2546.9072929623899</v>
      </c>
      <c r="K383">
        <f t="shared" ca="1" si="34"/>
        <v>27</v>
      </c>
      <c r="L383">
        <f ca="1">MIN(DATEDIF(Tabla1[[#This Row],[FechaDesembolso]],TODAY(),"m"),Tabla1[[#This Row],[Plazos (Meses)]])</f>
        <v>27</v>
      </c>
      <c r="M383">
        <f t="shared" ca="1" si="35"/>
        <v>190</v>
      </c>
      <c r="N383" s="8" t="s">
        <v>1251</v>
      </c>
      <c r="O383" s="8" t="s">
        <v>1253</v>
      </c>
      <c r="P383" s="13">
        <f t="shared" ca="1" si="37"/>
        <v>223013.00000000012</v>
      </c>
      <c r="Q38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41018.335619661942</v>
      </c>
      <c r="R383" s="8" t="str">
        <f t="shared" ca="1" si="36"/>
        <v>Vigente</v>
      </c>
      <c r="S383" t="str">
        <f ca="1">IF(Tabla1[[#This Row],[En Mora]]="No","",DATEDIF((EDATE(Tabla1[[#This Row],[FechaDesembolso]],Tabla1[[#This Row],[Mes de Mora]])),TODAY(),"d"))</f>
        <v/>
      </c>
    </row>
    <row r="384" spans="1:19" x14ac:dyDescent="0.25">
      <c r="A384" t="s">
        <v>1226</v>
      </c>
      <c r="B384" t="s">
        <v>585</v>
      </c>
      <c r="C384" s="8" t="s">
        <v>31</v>
      </c>
      <c r="D384" s="8" t="str">
        <f>_xlfn.XLOOKUP(B384,Clientes!A:A,Clientes!G:G,"No encontrado",0)</f>
        <v>AG08</v>
      </c>
      <c r="E384" s="9">
        <v>45637</v>
      </c>
      <c r="F384" s="11">
        <v>5248</v>
      </c>
      <c r="G384" s="10">
        <v>0.38374678870201823</v>
      </c>
      <c r="H384" s="10">
        <f t="shared" si="32"/>
        <v>2.7435858230307364E-2</v>
      </c>
      <c r="I384">
        <v>20</v>
      </c>
      <c r="J384" s="12">
        <f t="shared" si="33"/>
        <v>344.43868526934796</v>
      </c>
      <c r="K384">
        <f t="shared" ca="1" si="34"/>
        <v>10</v>
      </c>
      <c r="L384">
        <f ca="1">MIN(DATEDIF(Tabla1[[#This Row],[FechaDesembolso]],TODAY(),"m"),Tabla1[[#This Row],[Plazos (Meses)]])</f>
        <v>20</v>
      </c>
      <c r="M384">
        <f t="shared" ca="1" si="35"/>
        <v>10</v>
      </c>
      <c r="N384" s="8" t="s">
        <v>1252</v>
      </c>
      <c r="O384" s="8">
        <v>10</v>
      </c>
      <c r="P384" s="13">
        <f t="shared" ca="1" si="37"/>
        <v>5247.9999999999936</v>
      </c>
      <c r="Q38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820.38685269347934</v>
      </c>
      <c r="R384" s="8" t="str">
        <f t="shared" si="36"/>
        <v>En mora</v>
      </c>
      <c r="S384">
        <f ca="1">IF(Tabla1[[#This Row],[En Mora]]="No","",DATEDIF((EDATE(Tabla1[[#This Row],[FechaDesembolso]],Tabla1[[#This Row],[Mes de Mora]])),TODAY(),"d"))</f>
        <v>305</v>
      </c>
    </row>
    <row r="385" spans="1:19" x14ac:dyDescent="0.25">
      <c r="A385" t="s">
        <v>1227</v>
      </c>
      <c r="B385" t="s">
        <v>702</v>
      </c>
      <c r="C385" s="8" t="s">
        <v>37</v>
      </c>
      <c r="D385" s="8" t="str">
        <f>_xlfn.XLOOKUP(B385,Clientes!A:A,Clientes!G:G,"No encontrado",0)</f>
        <v>AG07</v>
      </c>
      <c r="E385" s="9">
        <v>46034</v>
      </c>
      <c r="F385" s="11">
        <v>112976</v>
      </c>
      <c r="G385" s="10">
        <v>0.11328632630413391</v>
      </c>
      <c r="H385" s="10">
        <f t="shared" si="32"/>
        <v>8.9831329477110256E-3</v>
      </c>
      <c r="I385">
        <v>137</v>
      </c>
      <c r="J385" s="12">
        <f t="shared" si="33"/>
        <v>1436.8955118912575</v>
      </c>
      <c r="K385">
        <f t="shared" ca="1" si="34"/>
        <v>6</v>
      </c>
      <c r="L385">
        <f ca="1">MIN(DATEDIF(Tabla1[[#This Row],[FechaDesembolso]],TODAY(),"m"),Tabla1[[#This Row],[Plazos (Meses)]])</f>
        <v>7</v>
      </c>
      <c r="M385">
        <f t="shared" ca="1" si="35"/>
        <v>131</v>
      </c>
      <c r="N385" s="8" t="s">
        <v>1252</v>
      </c>
      <c r="O385" s="8">
        <v>6</v>
      </c>
      <c r="P385" s="13">
        <f t="shared" ca="1" si="37"/>
        <v>112975.99999999985</v>
      </c>
      <c r="Q38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3673.5190567490044</v>
      </c>
      <c r="R385" s="8" t="str">
        <f t="shared" si="36"/>
        <v>En mora</v>
      </c>
      <c r="S385">
        <f ca="1">IF(Tabla1[[#This Row],[En Mora]]="No","",DATEDIF((EDATE(Tabla1[[#This Row],[FechaDesembolso]],Tabla1[[#This Row],[Mes de Mora]])),TODAY(),"d"))</f>
        <v>31</v>
      </c>
    </row>
    <row r="386" spans="1:19" x14ac:dyDescent="0.25">
      <c r="A386" t="s">
        <v>1228</v>
      </c>
      <c r="B386" t="s">
        <v>210</v>
      </c>
      <c r="C386" s="8" t="s">
        <v>33</v>
      </c>
      <c r="D386" s="8" t="str">
        <f>_xlfn.XLOOKUP(B386,Clientes!A:A,Clientes!G:G,"No encontrado",0)</f>
        <v>AG05</v>
      </c>
      <c r="E386" s="9">
        <v>45975</v>
      </c>
      <c r="F386" s="11">
        <v>19776</v>
      </c>
      <c r="G386" s="10">
        <v>0.38764497440937629</v>
      </c>
      <c r="H386" s="10">
        <f t="shared" si="32"/>
        <v>2.7676748503798754E-2</v>
      </c>
      <c r="I386">
        <v>29</v>
      </c>
      <c r="J386" s="12">
        <f t="shared" si="33"/>
        <v>1000.7322295751981</v>
      </c>
      <c r="K386">
        <f t="shared" ca="1" si="34"/>
        <v>8</v>
      </c>
      <c r="L386">
        <f ca="1">MIN(DATEDIF(Tabla1[[#This Row],[FechaDesembolso]],TODAY(),"m"),Tabla1[[#This Row],[Plazos (Meses)]])</f>
        <v>8</v>
      </c>
      <c r="M386">
        <f t="shared" ca="1" si="35"/>
        <v>21</v>
      </c>
      <c r="N386" s="8" t="s">
        <v>1251</v>
      </c>
      <c r="O386" s="8" t="s">
        <v>1253</v>
      </c>
      <c r="P386" s="13">
        <f t="shared" ca="1" si="37"/>
        <v>19776.000000000011</v>
      </c>
      <c r="Q38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2550.4095607395152</v>
      </c>
      <c r="R386" s="8" t="str">
        <f t="shared" ca="1" si="36"/>
        <v>Vigente</v>
      </c>
      <c r="S386" t="str">
        <f ca="1">IF(Tabla1[[#This Row],[En Mora]]="No","",DATEDIF((EDATE(Tabla1[[#This Row],[FechaDesembolso]],Tabla1[[#This Row],[Mes de Mora]])),TODAY(),"d"))</f>
        <v/>
      </c>
    </row>
    <row r="387" spans="1:19" x14ac:dyDescent="0.25">
      <c r="A387" t="s">
        <v>1229</v>
      </c>
      <c r="B387" t="s">
        <v>678</v>
      </c>
      <c r="C387" s="8" t="s">
        <v>39</v>
      </c>
      <c r="D387" s="8" t="str">
        <f>_xlfn.XLOOKUP(B387,Clientes!A:A,Clientes!G:G,"No encontrado",0)</f>
        <v>AG05</v>
      </c>
      <c r="E387" s="9">
        <v>46102</v>
      </c>
      <c r="F387" s="11">
        <v>10433</v>
      </c>
      <c r="G387" s="10">
        <v>0.32362095853280992</v>
      </c>
      <c r="H387" s="10">
        <f t="shared" ref="H387:H401" si="38">(1+G387)^(1/12)-1</f>
        <v>2.3639343486526299E-2</v>
      </c>
      <c r="I387">
        <v>12</v>
      </c>
      <c r="J387" s="12">
        <f t="shared" ref="J387:J401" si="39">PMT(H387,I387,-F387,,)</f>
        <v>1008.7222812363437</v>
      </c>
      <c r="K387">
        <f t="shared" ref="K387:K401" ca="1" si="40">IF(N387="SI",O387,MIN(DATEDIF(E387,TODAY(),"m"),I387))</f>
        <v>1</v>
      </c>
      <c r="L387">
        <f ca="1">MIN(DATEDIF(Tabla1[[#This Row],[FechaDesembolso]],TODAY(),"m"),Tabla1[[#This Row],[Plazos (Meses)]])</f>
        <v>4</v>
      </c>
      <c r="M387">
        <f t="shared" ref="M387:M401" ca="1" si="41">I387-K387</f>
        <v>11</v>
      </c>
      <c r="N387" s="8" t="s">
        <v>1252</v>
      </c>
      <c r="O387" s="8">
        <v>1</v>
      </c>
      <c r="P387" s="13">
        <f t="shared" ca="1" si="37"/>
        <v>10432.999999999989</v>
      </c>
      <c r="Q38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139.30561456967703</v>
      </c>
      <c r="R387" s="8" t="str">
        <f t="shared" ref="R387:R401" si="42">IF(N387="SI","En mora",IF(K387&gt;=I387,"Cancelado","Vigente"))</f>
        <v>En mora</v>
      </c>
      <c r="S387">
        <f ca="1">IF(Tabla1[[#This Row],[En Mora]]="No","",DATEDIF((EDATE(Tabla1[[#This Row],[FechaDesembolso]],Tabla1[[#This Row],[Mes de Mora]])),TODAY(),"d"))</f>
        <v>113</v>
      </c>
    </row>
    <row r="388" spans="1:19" x14ac:dyDescent="0.25">
      <c r="A388" t="s">
        <v>1230</v>
      </c>
      <c r="B388" t="s">
        <v>690</v>
      </c>
      <c r="C388" s="8" t="s">
        <v>33</v>
      </c>
      <c r="D388" s="8" t="str">
        <f>_xlfn.XLOOKUP(B388,Clientes!A:A,Clientes!G:G,"No encontrado",0)</f>
        <v>AG05</v>
      </c>
      <c r="E388" s="9">
        <v>45755</v>
      </c>
      <c r="F388" s="11">
        <v>8755</v>
      </c>
      <c r="G388" s="10">
        <v>0.38351746546287857</v>
      </c>
      <c r="H388" s="10">
        <f t="shared" si="38"/>
        <v>2.7421667723558585E-2</v>
      </c>
      <c r="I388">
        <v>18</v>
      </c>
      <c r="J388" s="12">
        <f t="shared" si="39"/>
        <v>622.76967253390205</v>
      </c>
      <c r="K388">
        <f t="shared" ca="1" si="40"/>
        <v>16</v>
      </c>
      <c r="L388">
        <f ca="1">MIN(DATEDIF(Tabla1[[#This Row],[FechaDesembolso]],TODAY(),"m"),Tabla1[[#This Row],[Plazos (Meses)]])</f>
        <v>16</v>
      </c>
      <c r="M388">
        <f t="shared" ca="1" si="41"/>
        <v>2</v>
      </c>
      <c r="N388" s="8" t="s">
        <v>1251</v>
      </c>
      <c r="O388" s="8" t="s">
        <v>1253</v>
      </c>
      <c r="P388" s="13">
        <f t="shared" ca="1" si="37"/>
        <v>8754.9999999999873</v>
      </c>
      <c r="Q38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2182.0925383202102</v>
      </c>
      <c r="R388" s="8" t="str">
        <f t="shared" ca="1" si="42"/>
        <v>Vigente</v>
      </c>
      <c r="S388" t="str">
        <f ca="1">IF(Tabla1[[#This Row],[En Mora]]="No","",DATEDIF((EDATE(Tabla1[[#This Row],[FechaDesembolso]],Tabla1[[#This Row],[Mes de Mora]])),TODAY(),"d"))</f>
        <v/>
      </c>
    </row>
    <row r="389" spans="1:19" x14ac:dyDescent="0.25">
      <c r="A389" t="s">
        <v>1231</v>
      </c>
      <c r="B389" t="s">
        <v>263</v>
      </c>
      <c r="C389" s="8" t="s">
        <v>35</v>
      </c>
      <c r="D389" s="8" t="str">
        <f>_xlfn.XLOOKUP(B389,Clientes!A:A,Clientes!G:G,"No encontrado",0)</f>
        <v>AG07</v>
      </c>
      <c r="E389" s="9">
        <v>44811</v>
      </c>
      <c r="F389" s="11">
        <v>48861</v>
      </c>
      <c r="G389" s="10">
        <v>0.27861971220187642</v>
      </c>
      <c r="H389" s="10">
        <f t="shared" si="38"/>
        <v>2.0692952866894876E-2</v>
      </c>
      <c r="I389">
        <v>26</v>
      </c>
      <c r="J389" s="12">
        <f t="shared" si="39"/>
        <v>2448.8439892332917</v>
      </c>
      <c r="K389">
        <f t="shared" ca="1" si="40"/>
        <v>26</v>
      </c>
      <c r="L389">
        <f ca="1">MIN(DATEDIF(Tabla1[[#This Row],[FechaDesembolso]],TODAY(),"m"),Tabla1[[#This Row],[Plazos (Meses)]])</f>
        <v>26</v>
      </c>
      <c r="M389">
        <f t="shared" ca="1" si="41"/>
        <v>0</v>
      </c>
      <c r="N389" s="8" t="s">
        <v>1251</v>
      </c>
      <c r="O389" s="8" t="s">
        <v>1253</v>
      </c>
      <c r="P389" s="13">
        <f t="shared" ref="P389:P401" ca="1" si="43">IF(M389=0,0,PV(H389,I389,-J389))</f>
        <v>0</v>
      </c>
      <c r="Q38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89" s="8" t="str">
        <f t="shared" ca="1" si="42"/>
        <v>Cancelado</v>
      </c>
      <c r="S389" t="str">
        <f ca="1">IF(Tabla1[[#This Row],[En Mora]]="No","",DATEDIF((EDATE(Tabla1[[#This Row],[FechaDesembolso]],Tabla1[[#This Row],[Mes de Mora]])),TODAY(),"d"))</f>
        <v/>
      </c>
    </row>
    <row r="390" spans="1:19" x14ac:dyDescent="0.25">
      <c r="A390" t="s">
        <v>1232</v>
      </c>
      <c r="B390" t="s">
        <v>522</v>
      </c>
      <c r="C390" s="8" t="s">
        <v>31</v>
      </c>
      <c r="D390" s="8" t="str">
        <f>_xlfn.XLOOKUP(B390,Clientes!A:A,Clientes!G:G,"No encontrado",0)</f>
        <v>AG04</v>
      </c>
      <c r="E390" s="9">
        <v>45261</v>
      </c>
      <c r="F390" s="11">
        <v>13705</v>
      </c>
      <c r="G390" s="10">
        <v>0.48238692101012604</v>
      </c>
      <c r="H390" s="10">
        <f t="shared" si="38"/>
        <v>3.3348463099684755E-2</v>
      </c>
      <c r="I390">
        <v>10</v>
      </c>
      <c r="J390" s="12">
        <f t="shared" si="39"/>
        <v>1634.2192326318511</v>
      </c>
      <c r="K390">
        <f t="shared" ca="1" si="40"/>
        <v>10</v>
      </c>
      <c r="L390">
        <f ca="1">MIN(DATEDIF(Tabla1[[#This Row],[FechaDesembolso]],TODAY(),"m"),Tabla1[[#This Row],[Plazos (Meses)]])</f>
        <v>10</v>
      </c>
      <c r="M390">
        <f t="shared" ca="1" si="41"/>
        <v>0</v>
      </c>
      <c r="N390" s="8" t="s">
        <v>1251</v>
      </c>
      <c r="O390" s="8" t="s">
        <v>1253</v>
      </c>
      <c r="P390" s="13">
        <f t="shared" ca="1" si="43"/>
        <v>0</v>
      </c>
      <c r="Q39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0</v>
      </c>
      <c r="R390" s="8" t="str">
        <f t="shared" ca="1" si="42"/>
        <v>Cancelado</v>
      </c>
      <c r="S390" t="str">
        <f ca="1">IF(Tabla1[[#This Row],[En Mora]]="No","",DATEDIF((EDATE(Tabla1[[#This Row],[FechaDesembolso]],Tabla1[[#This Row],[Mes de Mora]])),TODAY(),"d"))</f>
        <v/>
      </c>
    </row>
    <row r="391" spans="1:19" x14ac:dyDescent="0.25">
      <c r="A391" t="s">
        <v>1233</v>
      </c>
      <c r="B391" t="s">
        <v>717</v>
      </c>
      <c r="C391" s="8" t="s">
        <v>31</v>
      </c>
      <c r="D391" s="8" t="str">
        <f>_xlfn.XLOOKUP(B391,Clientes!A:A,Clientes!G:G,"No encontrado",0)</f>
        <v>AG08</v>
      </c>
      <c r="E391" s="9">
        <v>45273</v>
      </c>
      <c r="F391" s="11">
        <v>3524</v>
      </c>
      <c r="G391" s="10">
        <v>0.41307347137572115</v>
      </c>
      <c r="H391" s="10">
        <f t="shared" si="38"/>
        <v>2.9233062034873969E-2</v>
      </c>
      <c r="I391">
        <v>22</v>
      </c>
      <c r="J391" s="12">
        <f t="shared" si="39"/>
        <v>219.42637537266671</v>
      </c>
      <c r="K391">
        <f t="shared" ca="1" si="40"/>
        <v>12</v>
      </c>
      <c r="L391">
        <f ca="1">MIN(DATEDIF(Tabla1[[#This Row],[FechaDesembolso]],TODAY(),"m"),Tabla1[[#This Row],[Plazos (Meses)]])</f>
        <v>22</v>
      </c>
      <c r="M391">
        <f t="shared" ca="1" si="41"/>
        <v>10</v>
      </c>
      <c r="N391" s="8" t="s">
        <v>1252</v>
      </c>
      <c r="O391" s="8">
        <v>12</v>
      </c>
      <c r="P391" s="13">
        <f t="shared" ca="1" si="43"/>
        <v>3523.9999999999964</v>
      </c>
      <c r="Q39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710.93468629018219</v>
      </c>
      <c r="R391" s="8" t="str">
        <f t="shared" si="42"/>
        <v>En mora</v>
      </c>
      <c r="S391">
        <f ca="1">IF(Tabla1[[#This Row],[En Mora]]="No","",DATEDIF((EDATE(Tabla1[[#This Row],[FechaDesembolso]],Tabla1[[#This Row],[Mes de Mora]])),TODAY(),"d"))</f>
        <v>607</v>
      </c>
    </row>
    <row r="392" spans="1:19" x14ac:dyDescent="0.25">
      <c r="A392" t="s">
        <v>1234</v>
      </c>
      <c r="B392" t="s">
        <v>591</v>
      </c>
      <c r="C392" s="8" t="s">
        <v>37</v>
      </c>
      <c r="D392" s="8" t="str">
        <f>_xlfn.XLOOKUP(B392,Clientes!A:A,Clientes!G:G,"No encontrado",0)</f>
        <v>AG06</v>
      </c>
      <c r="E392" s="9">
        <v>45960</v>
      </c>
      <c r="F392" s="11">
        <v>246042</v>
      </c>
      <c r="G392" s="10">
        <v>0.10302318658338286</v>
      </c>
      <c r="H392" s="10">
        <f t="shared" si="38"/>
        <v>8.2047057369978305E-3</v>
      </c>
      <c r="I392">
        <v>125</v>
      </c>
      <c r="J392" s="12">
        <f t="shared" si="39"/>
        <v>3154.661412996797</v>
      </c>
      <c r="K392">
        <f t="shared" ca="1" si="40"/>
        <v>9</v>
      </c>
      <c r="L392">
        <f ca="1">MIN(DATEDIF(Tabla1[[#This Row],[FechaDesembolso]],TODAY(),"m"),Tabla1[[#This Row],[Plazos (Meses)]])</f>
        <v>9</v>
      </c>
      <c r="M392">
        <f t="shared" ca="1" si="41"/>
        <v>116</v>
      </c>
      <c r="N392" s="8" t="s">
        <v>1251</v>
      </c>
      <c r="O392" s="8" t="s">
        <v>1253</v>
      </c>
      <c r="P392" s="13">
        <f t="shared" ca="1" si="43"/>
        <v>246041.99999999901</v>
      </c>
      <c r="Q392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10676.928716971172</v>
      </c>
      <c r="R392" s="8" t="str">
        <f t="shared" ca="1" si="42"/>
        <v>Vigente</v>
      </c>
      <c r="S392" t="str">
        <f ca="1">IF(Tabla1[[#This Row],[En Mora]]="No","",DATEDIF((EDATE(Tabla1[[#This Row],[FechaDesembolso]],Tabla1[[#This Row],[Mes de Mora]])),TODAY(),"d"))</f>
        <v/>
      </c>
    </row>
    <row r="393" spans="1:19" x14ac:dyDescent="0.25">
      <c r="A393" t="s">
        <v>1235</v>
      </c>
      <c r="B393" t="s">
        <v>660</v>
      </c>
      <c r="C393" s="8" t="s">
        <v>37</v>
      </c>
      <c r="D393" s="8" t="str">
        <f>_xlfn.XLOOKUP(B393,Clientes!A:A,Clientes!G:G,"No encontrado",0)</f>
        <v>AG03</v>
      </c>
      <c r="E393" s="9">
        <v>46145</v>
      </c>
      <c r="F393" s="11">
        <v>226777</v>
      </c>
      <c r="G393" s="10">
        <v>0.13548216904212601</v>
      </c>
      <c r="H393" s="10">
        <f t="shared" si="38"/>
        <v>1.0644367388045861E-2</v>
      </c>
      <c r="I393">
        <v>117</v>
      </c>
      <c r="J393" s="12">
        <f t="shared" si="39"/>
        <v>3398.5584849280508</v>
      </c>
      <c r="K393">
        <f t="shared" ca="1" si="40"/>
        <v>1</v>
      </c>
      <c r="L393">
        <f ca="1">MIN(DATEDIF(Tabla1[[#This Row],[FechaDesembolso]],TODAY(),"m"),Tabla1[[#This Row],[Plazos (Meses)]])</f>
        <v>3</v>
      </c>
      <c r="M393">
        <f t="shared" ca="1" si="41"/>
        <v>116</v>
      </c>
      <c r="N393" s="8" t="s">
        <v>1252</v>
      </c>
      <c r="O393" s="8">
        <v>1</v>
      </c>
      <c r="P393" s="13">
        <f t="shared" ca="1" si="43"/>
        <v>226776.9999999998</v>
      </c>
      <c r="Q393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1460.2935276630935</v>
      </c>
      <c r="R393" s="8" t="str">
        <f t="shared" si="42"/>
        <v>En mora</v>
      </c>
      <c r="S393">
        <f ca="1">IF(Tabla1[[#This Row],[En Mora]]="No","",DATEDIF((EDATE(Tabla1[[#This Row],[FechaDesembolso]],Tabla1[[#This Row],[Mes de Mora]])),TODAY(),"d"))</f>
        <v>70</v>
      </c>
    </row>
    <row r="394" spans="1:19" x14ac:dyDescent="0.25">
      <c r="A394" t="s">
        <v>1236</v>
      </c>
      <c r="B394" t="s">
        <v>621</v>
      </c>
      <c r="C394" s="8" t="s">
        <v>39</v>
      </c>
      <c r="D394" s="8" t="str">
        <f>_xlfn.XLOOKUP(B394,Clientes!A:A,Clientes!G:G,"No encontrado",0)</f>
        <v>AG07</v>
      </c>
      <c r="E394" s="9">
        <v>45592</v>
      </c>
      <c r="F394" s="11">
        <v>13571</v>
      </c>
      <c r="G394" s="10">
        <v>0.27583679506996234</v>
      </c>
      <c r="H394" s="10">
        <f t="shared" si="38"/>
        <v>2.0507639659885335E-2</v>
      </c>
      <c r="I394">
        <v>23</v>
      </c>
      <c r="J394" s="12">
        <f t="shared" si="39"/>
        <v>746.01730318748423</v>
      </c>
      <c r="K394">
        <f t="shared" ca="1" si="40"/>
        <v>21</v>
      </c>
      <c r="L394">
        <f ca="1">MIN(DATEDIF(Tabla1[[#This Row],[FechaDesembolso]],TODAY(),"m"),Tabla1[[#This Row],[Plazos (Meses)]])</f>
        <v>21</v>
      </c>
      <c r="M394">
        <f t="shared" ca="1" si="41"/>
        <v>2</v>
      </c>
      <c r="N394" s="8" t="s">
        <v>1251</v>
      </c>
      <c r="O394" s="8" t="s">
        <v>1253</v>
      </c>
      <c r="P394" s="13">
        <f t="shared" ca="1" si="43"/>
        <v>13570.999999999976</v>
      </c>
      <c r="Q394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3275.4503234589083</v>
      </c>
      <c r="R394" s="8" t="str">
        <f t="shared" ca="1" si="42"/>
        <v>Vigente</v>
      </c>
      <c r="S394" t="str">
        <f ca="1">IF(Tabla1[[#This Row],[En Mora]]="No","",DATEDIF((EDATE(Tabla1[[#This Row],[FechaDesembolso]],Tabla1[[#This Row],[Mes de Mora]])),TODAY(),"d"))</f>
        <v/>
      </c>
    </row>
    <row r="395" spans="1:19" x14ac:dyDescent="0.25">
      <c r="A395" t="s">
        <v>1237</v>
      </c>
      <c r="B395" t="s">
        <v>783</v>
      </c>
      <c r="C395" s="8" t="s">
        <v>37</v>
      </c>
      <c r="D395" s="8" t="str">
        <f>_xlfn.XLOOKUP(B395,Clientes!A:A,Clientes!G:G,"No encontrado",0)</f>
        <v>AG02</v>
      </c>
      <c r="E395" s="9">
        <v>45850</v>
      </c>
      <c r="F395" s="11">
        <v>213730</v>
      </c>
      <c r="G395" s="10">
        <v>9.705785899601567E-2</v>
      </c>
      <c r="H395" s="10">
        <f t="shared" si="38"/>
        <v>7.7491977181340932E-3</v>
      </c>
      <c r="I395">
        <v>84</v>
      </c>
      <c r="J395" s="12">
        <f t="shared" si="39"/>
        <v>3471.2429024912544</v>
      </c>
      <c r="K395">
        <f t="shared" ca="1" si="40"/>
        <v>13</v>
      </c>
      <c r="L395">
        <f ca="1">MIN(DATEDIF(Tabla1[[#This Row],[FechaDesembolso]],TODAY(),"m"),Tabla1[[#This Row],[Plazos (Meses)]])</f>
        <v>13</v>
      </c>
      <c r="M395">
        <f t="shared" ca="1" si="41"/>
        <v>71</v>
      </c>
      <c r="N395" s="8" t="s">
        <v>1251</v>
      </c>
      <c r="O395" s="8" t="s">
        <v>1253</v>
      </c>
      <c r="P395" s="13">
        <f t="shared" ca="1" si="43"/>
        <v>213730.00000000073</v>
      </c>
      <c r="Q395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12048.895827624399</v>
      </c>
      <c r="R395" s="8" t="str">
        <f t="shared" ca="1" si="42"/>
        <v>Vigente</v>
      </c>
      <c r="S395" t="str">
        <f ca="1">IF(Tabla1[[#This Row],[En Mora]]="No","",DATEDIF((EDATE(Tabla1[[#This Row],[FechaDesembolso]],Tabla1[[#This Row],[Mes de Mora]])),TODAY(),"d"))</f>
        <v/>
      </c>
    </row>
    <row r="396" spans="1:19" x14ac:dyDescent="0.25">
      <c r="A396" t="s">
        <v>1238</v>
      </c>
      <c r="B396" t="s">
        <v>407</v>
      </c>
      <c r="C396" s="8" t="s">
        <v>31</v>
      </c>
      <c r="D396" s="8" t="str">
        <f>_xlfn.XLOOKUP(B396,Clientes!A:A,Clientes!G:G,"No encontrado",0)</f>
        <v>AG08</v>
      </c>
      <c r="E396" s="9">
        <v>46101</v>
      </c>
      <c r="F396" s="11">
        <v>11126</v>
      </c>
      <c r="G396" s="10">
        <v>0.53902587841747229</v>
      </c>
      <c r="H396" s="10">
        <f t="shared" si="38"/>
        <v>3.6582390779206664E-2</v>
      </c>
      <c r="I396">
        <v>7</v>
      </c>
      <c r="J396" s="12">
        <f t="shared" si="39"/>
        <v>1830.3563971218787</v>
      </c>
      <c r="K396">
        <f t="shared" ca="1" si="40"/>
        <v>4</v>
      </c>
      <c r="L396">
        <f ca="1">MIN(DATEDIF(Tabla1[[#This Row],[FechaDesembolso]],TODAY(),"m"),Tabla1[[#This Row],[Plazos (Meses)]])</f>
        <v>4</v>
      </c>
      <c r="M396">
        <f t="shared" ca="1" si="41"/>
        <v>3</v>
      </c>
      <c r="N396" s="8" t="s">
        <v>1251</v>
      </c>
      <c r="O396" s="8" t="s">
        <v>1253</v>
      </c>
      <c r="P396" s="13">
        <f t="shared" ca="1" si="43"/>
        <v>11126.000000000013</v>
      </c>
      <c r="Q396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963.71130277322868</v>
      </c>
      <c r="R396" s="8" t="str">
        <f t="shared" ca="1" si="42"/>
        <v>Vigente</v>
      </c>
      <c r="S396" t="str">
        <f ca="1">IF(Tabla1[[#This Row],[En Mora]]="No","",DATEDIF((EDATE(Tabla1[[#This Row],[FechaDesembolso]],Tabla1[[#This Row],[Mes de Mora]])),TODAY(),"d"))</f>
        <v/>
      </c>
    </row>
    <row r="397" spans="1:19" x14ac:dyDescent="0.25">
      <c r="A397" t="s">
        <v>1239</v>
      </c>
      <c r="B397" t="s">
        <v>483</v>
      </c>
      <c r="C397" s="8" t="s">
        <v>35</v>
      </c>
      <c r="D397" s="8" t="str">
        <f>_xlfn.XLOOKUP(B397,Clientes!A:A,Clientes!G:G,"No encontrado",0)</f>
        <v>AG07</v>
      </c>
      <c r="E397" s="9">
        <v>46137</v>
      </c>
      <c r="F397" s="11">
        <v>11994</v>
      </c>
      <c r="G397" s="10">
        <v>0.26275659678632191</v>
      </c>
      <c r="H397" s="10">
        <f t="shared" si="38"/>
        <v>1.9631640739997458E-2</v>
      </c>
      <c r="I397">
        <v>44</v>
      </c>
      <c r="J397" s="12">
        <f t="shared" si="39"/>
        <v>409.57264354585976</v>
      </c>
      <c r="K397">
        <f t="shared" ca="1" si="40"/>
        <v>3</v>
      </c>
      <c r="L397">
        <f ca="1">MIN(DATEDIF(Tabla1[[#This Row],[FechaDesembolso]],TODAY(),"m"),Tabla1[[#This Row],[Plazos (Meses)]])</f>
        <v>3</v>
      </c>
      <c r="M397">
        <f t="shared" ca="1" si="41"/>
        <v>41</v>
      </c>
      <c r="N397" s="8" t="s">
        <v>1251</v>
      </c>
      <c r="O397" s="8" t="s">
        <v>1253</v>
      </c>
      <c r="P397" s="13">
        <f t="shared" ca="1" si="43"/>
        <v>11994.000000000007</v>
      </c>
      <c r="Q397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410.94520336485209</v>
      </c>
      <c r="R397" s="8" t="str">
        <f t="shared" ca="1" si="42"/>
        <v>Vigente</v>
      </c>
      <c r="S397" t="str">
        <f ca="1">IF(Tabla1[[#This Row],[En Mora]]="No","",DATEDIF((EDATE(Tabla1[[#This Row],[FechaDesembolso]],Tabla1[[#This Row],[Mes de Mora]])),TODAY(),"d"))</f>
        <v/>
      </c>
    </row>
    <row r="398" spans="1:19" x14ac:dyDescent="0.25">
      <c r="A398" t="s">
        <v>1240</v>
      </c>
      <c r="B398" t="s">
        <v>386</v>
      </c>
      <c r="C398" s="8" t="s">
        <v>35</v>
      </c>
      <c r="D398" s="8" t="str">
        <f>_xlfn.XLOOKUP(B398,Clientes!A:A,Clientes!G:G,"No encontrado",0)</f>
        <v>AG05</v>
      </c>
      <c r="E398" s="9">
        <v>45562</v>
      </c>
      <c r="F398" s="11">
        <v>29361</v>
      </c>
      <c r="G398" s="10">
        <v>0.29650927863052812</v>
      </c>
      <c r="H398" s="10">
        <f t="shared" si="38"/>
        <v>2.1875458260395497E-2</v>
      </c>
      <c r="I398">
        <v>44</v>
      </c>
      <c r="J398" s="12">
        <f t="shared" si="39"/>
        <v>1045.9190382360662</v>
      </c>
      <c r="K398">
        <f t="shared" ca="1" si="40"/>
        <v>22</v>
      </c>
      <c r="L398">
        <f ca="1">MIN(DATEDIF(Tabla1[[#This Row],[FechaDesembolso]],TODAY(),"m"),Tabla1[[#This Row],[Plazos (Meses)]])</f>
        <v>22</v>
      </c>
      <c r="M398">
        <f t="shared" ca="1" si="41"/>
        <v>22</v>
      </c>
      <c r="N398" s="8" t="s">
        <v>1251</v>
      </c>
      <c r="O398" s="8" t="s">
        <v>1253</v>
      </c>
      <c r="P398" s="13">
        <f t="shared" ca="1" si="43"/>
        <v>29361.000000000015</v>
      </c>
      <c r="Q398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8329.7188411934549</v>
      </c>
      <c r="R398" s="8" t="str">
        <f t="shared" ca="1" si="42"/>
        <v>Vigente</v>
      </c>
      <c r="S398" t="str">
        <f ca="1">IF(Tabla1[[#This Row],[En Mora]]="No","",DATEDIF((EDATE(Tabla1[[#This Row],[FechaDesembolso]],Tabla1[[#This Row],[Mes de Mora]])),TODAY(),"d"))</f>
        <v/>
      </c>
    </row>
    <row r="399" spans="1:19" x14ac:dyDescent="0.25">
      <c r="A399" t="s">
        <v>1241</v>
      </c>
      <c r="B399" t="s">
        <v>477</v>
      </c>
      <c r="C399" s="8" t="s">
        <v>35</v>
      </c>
      <c r="D399" s="8" t="str">
        <f>_xlfn.XLOOKUP(B399,Clientes!A:A,Clientes!G:G,"No encontrado",0)</f>
        <v>AG04</v>
      </c>
      <c r="E399" s="9">
        <v>45303</v>
      </c>
      <c r="F399" s="11">
        <v>37991</v>
      </c>
      <c r="G399" s="10">
        <v>0.28660170832599846</v>
      </c>
      <c r="H399" s="10">
        <f t="shared" si="38"/>
        <v>2.1222426747535827E-2</v>
      </c>
      <c r="I399">
        <v>56</v>
      </c>
      <c r="J399" s="12">
        <f t="shared" si="39"/>
        <v>1165.9665112187217</v>
      </c>
      <c r="K399">
        <f t="shared" ca="1" si="40"/>
        <v>6</v>
      </c>
      <c r="L399">
        <f ca="1">MIN(DATEDIF(Tabla1[[#This Row],[FechaDesembolso]],TODAY(),"m"),Tabla1[[#This Row],[Plazos (Meses)]])</f>
        <v>31</v>
      </c>
      <c r="M399">
        <f t="shared" ca="1" si="41"/>
        <v>50</v>
      </c>
      <c r="N399" s="8" t="s">
        <v>1252</v>
      </c>
      <c r="O399" s="8">
        <v>6</v>
      </c>
      <c r="P399" s="13">
        <f t="shared" ca="1" si="43"/>
        <v>37991.000000000036</v>
      </c>
      <c r="Q399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2925.3347815980451</v>
      </c>
      <c r="R399" s="8" t="str">
        <f t="shared" si="42"/>
        <v>En mora</v>
      </c>
      <c r="S399">
        <f ca="1">IF(Tabla1[[#This Row],[En Mora]]="No","",DATEDIF((EDATE(Tabla1[[#This Row],[FechaDesembolso]],Tabla1[[#This Row],[Mes de Mora]])),TODAY(),"d"))</f>
        <v>761</v>
      </c>
    </row>
    <row r="400" spans="1:19" x14ac:dyDescent="0.25">
      <c r="A400" t="s">
        <v>1242</v>
      </c>
      <c r="B400" t="s">
        <v>799</v>
      </c>
      <c r="C400" s="8" t="s">
        <v>33</v>
      </c>
      <c r="D400" s="8" t="str">
        <f>_xlfn.XLOOKUP(B400,Clientes!A:A,Clientes!G:G,"No encontrado",0)</f>
        <v>AG04</v>
      </c>
      <c r="E400" s="9">
        <v>45937</v>
      </c>
      <c r="F400" s="11">
        <v>37565</v>
      </c>
      <c r="G400" s="10">
        <v>0.36510913837587849</v>
      </c>
      <c r="H400" s="10">
        <f t="shared" si="38"/>
        <v>2.6275468324470141E-2</v>
      </c>
      <c r="I400">
        <v>35</v>
      </c>
      <c r="J400" s="12">
        <f t="shared" si="39"/>
        <v>1654.5052321716355</v>
      </c>
      <c r="K400">
        <f t="shared" ca="1" si="40"/>
        <v>10</v>
      </c>
      <c r="L400">
        <f ca="1">MIN(DATEDIF(Tabla1[[#This Row],[FechaDesembolso]],TODAY(),"m"),Tabla1[[#This Row],[Plazos (Meses)]])</f>
        <v>10</v>
      </c>
      <c r="M400">
        <f t="shared" ca="1" si="41"/>
        <v>25</v>
      </c>
      <c r="N400" s="8" t="s">
        <v>1251</v>
      </c>
      <c r="O400" s="8" t="s">
        <v>1253</v>
      </c>
      <c r="P400" s="13">
        <f t="shared" ca="1" si="43"/>
        <v>37565.000000000015</v>
      </c>
      <c r="Q400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5812.1951788592123</v>
      </c>
      <c r="R400" s="8" t="str">
        <f t="shared" ca="1" si="42"/>
        <v>Vigente</v>
      </c>
      <c r="S400" t="str">
        <f ca="1">IF(Tabla1[[#This Row],[En Mora]]="No","",DATEDIF((EDATE(Tabla1[[#This Row],[FechaDesembolso]],Tabla1[[#This Row],[Mes de Mora]])),TODAY(),"d"))</f>
        <v/>
      </c>
    </row>
    <row r="401" spans="1:19" x14ac:dyDescent="0.25">
      <c r="A401" t="s">
        <v>1243</v>
      </c>
      <c r="B401" t="s">
        <v>426</v>
      </c>
      <c r="C401" s="8" t="s">
        <v>39</v>
      </c>
      <c r="D401" s="8" t="str">
        <f>_xlfn.XLOOKUP(B401,Clientes!A:A,Clientes!G:G,"No encontrado",0)</f>
        <v>AG05</v>
      </c>
      <c r="E401" s="9">
        <v>46044</v>
      </c>
      <c r="F401" s="11">
        <v>4844</v>
      </c>
      <c r="G401" s="10">
        <v>0.26014243817462557</v>
      </c>
      <c r="H401" s="10">
        <f t="shared" si="38"/>
        <v>1.9455570168900982E-2</v>
      </c>
      <c r="I401">
        <v>16</v>
      </c>
      <c r="J401" s="12">
        <f t="shared" si="39"/>
        <v>355.2244446069173</v>
      </c>
      <c r="K401">
        <f t="shared" ca="1" si="40"/>
        <v>6</v>
      </c>
      <c r="L401">
        <f ca="1">MIN(DATEDIF(Tabla1[[#This Row],[FechaDesembolso]],TODAY(),"m"),Tabla1[[#This Row],[Plazos (Meses)]])</f>
        <v>6</v>
      </c>
      <c r="M401">
        <f t="shared" ca="1" si="41"/>
        <v>10</v>
      </c>
      <c r="N401" s="8" t="s">
        <v>1251</v>
      </c>
      <c r="O401" s="8" t="s">
        <v>1253</v>
      </c>
      <c r="P401" s="13">
        <f t="shared" ca="1" si="43"/>
        <v>4843.9999999999955</v>
      </c>
      <c r="Q401" s="13">
        <f ca="1">IF(Tabla1[[#This Row],[Plazo restante]]=0,0,(Tabla1[[#This Row],[Cuota Mensual]]*Tabla1[[#This Row],[Plazos (Meses)]]-Tabla1[[#This Row],[MontoDesembolsado]])*(Tabla1[[#This Row],[Plazo transcurrido]]/Tabla1[[#This Row],[Plazos (Meses)]]))</f>
        <v>314.84666764150381</v>
      </c>
      <c r="R401" s="8" t="str">
        <f t="shared" ca="1" si="42"/>
        <v>Vigente</v>
      </c>
      <c r="S401" t="str">
        <f ca="1">IF(Tabla1[[#This Row],[En Mora]]="No","",DATEDIF((EDATE(Tabla1[[#This Row],[FechaDesembolso]],Tabla1[[#This Row],[Mes de Mora]])),TODAY(),"d"))</f>
        <v/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70E3-EFEA-4B43-B7DD-51E30CDD2115}">
  <sheetPr codeName="Hoja8"/>
  <dimension ref="B2:G22"/>
  <sheetViews>
    <sheetView zoomScale="94" workbookViewId="0">
      <selection activeCell="H15" sqref="H15"/>
    </sheetView>
  </sheetViews>
  <sheetFormatPr baseColWidth="10" defaultRowHeight="15" x14ac:dyDescent="0.25"/>
  <cols>
    <col min="1" max="1" width="11.42578125" style="54"/>
    <col min="2" max="2" width="17.5703125" style="54" bestFit="1" customWidth="1"/>
    <col min="3" max="3" width="28.42578125" style="54" bestFit="1" customWidth="1"/>
    <col min="4" max="5" width="11.42578125" style="54"/>
    <col min="6" max="6" width="17.5703125" style="54" bestFit="1" customWidth="1"/>
    <col min="7" max="7" width="23.85546875" style="54" bestFit="1" customWidth="1"/>
    <col min="8" max="9" width="11.42578125" style="54"/>
    <col min="10" max="10" width="17.5703125" style="54" bestFit="1" customWidth="1"/>
    <col min="11" max="11" width="28.5703125" style="54" bestFit="1" customWidth="1"/>
    <col min="12" max="16384" width="11.42578125" style="54"/>
  </cols>
  <sheetData>
    <row r="2" spans="2:7" x14ac:dyDescent="0.25">
      <c r="B2" s="65" t="s">
        <v>1627</v>
      </c>
      <c r="C2" s="65"/>
      <c r="F2" s="65" t="s">
        <v>1628</v>
      </c>
      <c r="G2" s="65"/>
    </row>
    <row r="3" spans="2:7" x14ac:dyDescent="0.25">
      <c r="B3" s="41" t="s">
        <v>1613</v>
      </c>
      <c r="C3" t="s">
        <v>1615</v>
      </c>
      <c r="F3" s="41" t="s">
        <v>1613</v>
      </c>
      <c r="G3" t="s">
        <v>1615</v>
      </c>
    </row>
    <row r="4" spans="2:7" x14ac:dyDescent="0.25">
      <c r="B4" s="42" t="s">
        <v>3</v>
      </c>
      <c r="C4" s="43">
        <v>1340644</v>
      </c>
      <c r="F4" s="42" t="s">
        <v>31</v>
      </c>
      <c r="G4" s="43">
        <v>491586</v>
      </c>
    </row>
    <row r="5" spans="2:7" x14ac:dyDescent="0.25">
      <c r="B5" s="42" t="s">
        <v>6</v>
      </c>
      <c r="C5" s="43">
        <v>1753487</v>
      </c>
      <c r="F5" s="42" t="s">
        <v>33</v>
      </c>
      <c r="G5" s="43">
        <v>2265259</v>
      </c>
    </row>
    <row r="6" spans="2:7" x14ac:dyDescent="0.25">
      <c r="B6" s="42" t="s">
        <v>8</v>
      </c>
      <c r="C6" s="43">
        <v>4220642</v>
      </c>
      <c r="F6" s="42" t="s">
        <v>35</v>
      </c>
      <c r="G6" s="43">
        <v>4160667</v>
      </c>
    </row>
    <row r="7" spans="2:7" x14ac:dyDescent="0.25">
      <c r="B7" s="42" t="s">
        <v>11</v>
      </c>
      <c r="C7" s="43">
        <v>2691443</v>
      </c>
      <c r="F7" s="42" t="s">
        <v>37</v>
      </c>
      <c r="G7" s="43">
        <v>15158306</v>
      </c>
    </row>
    <row r="8" spans="2:7" x14ac:dyDescent="0.25">
      <c r="B8" s="42" t="s">
        <v>14</v>
      </c>
      <c r="C8" s="43">
        <v>4286760</v>
      </c>
      <c r="F8" s="42" t="s">
        <v>39</v>
      </c>
      <c r="G8" s="43">
        <v>781233</v>
      </c>
    </row>
    <row r="9" spans="2:7" x14ac:dyDescent="0.25">
      <c r="B9" s="42" t="s">
        <v>17</v>
      </c>
      <c r="C9" s="43">
        <v>3715327</v>
      </c>
      <c r="F9" s="42" t="s">
        <v>1614</v>
      </c>
      <c r="G9" s="43">
        <v>22857051</v>
      </c>
    </row>
    <row r="10" spans="2:7" x14ac:dyDescent="0.25">
      <c r="B10" s="42" t="s">
        <v>19</v>
      </c>
      <c r="C10" s="43">
        <v>2199305</v>
      </c>
    </row>
    <row r="11" spans="2:7" x14ac:dyDescent="0.25">
      <c r="B11" s="42" t="s">
        <v>21</v>
      </c>
      <c r="C11" s="43">
        <v>2649443</v>
      </c>
    </row>
    <row r="12" spans="2:7" x14ac:dyDescent="0.25">
      <c r="B12" s="42" t="s">
        <v>1614</v>
      </c>
      <c r="C12" s="43">
        <v>22857051</v>
      </c>
    </row>
    <row r="15" spans="2:7" x14ac:dyDescent="0.25">
      <c r="B15" s="65" t="s">
        <v>1629</v>
      </c>
      <c r="C15" s="65"/>
      <c r="F15" s="65" t="s">
        <v>1630</v>
      </c>
      <c r="G15" s="65"/>
    </row>
    <row r="16" spans="2:7" x14ac:dyDescent="0.25">
      <c r="B16" s="41" t="s">
        <v>1613</v>
      </c>
      <c r="C16" t="s">
        <v>1615</v>
      </c>
      <c r="F16" s="41" t="s">
        <v>1613</v>
      </c>
      <c r="G16" t="s">
        <v>1881</v>
      </c>
    </row>
    <row r="17" spans="2:7" x14ac:dyDescent="0.25">
      <c r="B17" s="42" t="s">
        <v>1616</v>
      </c>
      <c r="C17" s="43">
        <v>865866</v>
      </c>
      <c r="F17" s="42" t="s">
        <v>1624</v>
      </c>
      <c r="G17" s="43">
        <v>3436832</v>
      </c>
    </row>
    <row r="18" spans="2:7" customFormat="1" x14ac:dyDescent="0.25">
      <c r="B18" s="42" t="s">
        <v>1617</v>
      </c>
      <c r="C18" s="43">
        <v>1788937</v>
      </c>
      <c r="D18" s="54"/>
      <c r="E18" s="54"/>
      <c r="F18" s="42" t="s">
        <v>1625</v>
      </c>
      <c r="G18" s="43">
        <v>18060706</v>
      </c>
    </row>
    <row r="19" spans="2:7" x14ac:dyDescent="0.25">
      <c r="B19" s="42" t="s">
        <v>1618</v>
      </c>
      <c r="C19" s="43">
        <v>4973156</v>
      </c>
      <c r="F19" s="42" t="s">
        <v>1614</v>
      </c>
      <c r="G19" s="43">
        <v>21497538</v>
      </c>
    </row>
    <row r="20" spans="2:7" x14ac:dyDescent="0.25">
      <c r="B20" s="42" t="s">
        <v>1619</v>
      </c>
      <c r="C20" s="43">
        <v>7360376</v>
      </c>
    </row>
    <row r="21" spans="2:7" x14ac:dyDescent="0.25">
      <c r="B21" s="42" t="s">
        <v>1620</v>
      </c>
      <c r="C21" s="43">
        <v>7868716</v>
      </c>
    </row>
    <row r="22" spans="2:7" x14ac:dyDescent="0.25">
      <c r="B22" s="42" t="s">
        <v>1614</v>
      </c>
      <c r="C22" s="43">
        <v>22857051</v>
      </c>
    </row>
  </sheetData>
  <mergeCells count="4">
    <mergeCell ref="B2:C2"/>
    <mergeCell ref="F2:G2"/>
    <mergeCell ref="B15:C15"/>
    <mergeCell ref="F15:G1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43892-A66F-49C8-86E6-060D7A4703C7}">
  <sheetPr codeName="Hoja9"/>
  <dimension ref="A1:M301"/>
  <sheetViews>
    <sheetView tabSelected="1" topLeftCell="B1" zoomScale="80" zoomScaleNormal="80" workbookViewId="0">
      <selection activeCell="Q18" sqref="Q18"/>
    </sheetView>
  </sheetViews>
  <sheetFormatPr baseColWidth="10" defaultRowHeight="15" x14ac:dyDescent="0.25"/>
  <cols>
    <col min="1" max="1" width="13" customWidth="1"/>
    <col min="2" max="2" width="11.42578125" customWidth="1"/>
    <col min="3" max="3" width="16.85546875" customWidth="1"/>
    <col min="4" max="4" width="12" customWidth="1"/>
    <col min="5" max="5" width="17.140625" customWidth="1"/>
    <col min="6" max="7" width="12.5703125" customWidth="1"/>
    <col min="8" max="8" width="15.5703125" customWidth="1"/>
    <col min="9" max="9" width="19.28515625" customWidth="1"/>
    <col min="10" max="10" width="19.7109375" customWidth="1"/>
    <col min="11" max="11" width="13.5703125" customWidth="1"/>
    <col min="12" max="12" width="18.7109375" bestFit="1" customWidth="1"/>
  </cols>
  <sheetData>
    <row r="1" spans="1:13" x14ac:dyDescent="0.25">
      <c r="A1" s="8" t="s">
        <v>1255</v>
      </c>
      <c r="B1" s="8" t="s">
        <v>54</v>
      </c>
      <c r="C1" s="8" t="s">
        <v>41</v>
      </c>
      <c r="D1" s="8" t="s">
        <v>0</v>
      </c>
      <c r="E1" s="8" t="s">
        <v>1562</v>
      </c>
      <c r="F1" s="8" t="s">
        <v>842</v>
      </c>
      <c r="G1" s="8" t="s">
        <v>1245</v>
      </c>
      <c r="H1" s="8" t="s">
        <v>1557</v>
      </c>
      <c r="I1" s="8" t="s">
        <v>1558</v>
      </c>
      <c r="J1" s="8" t="s">
        <v>1559</v>
      </c>
      <c r="K1" s="8" t="s">
        <v>1560</v>
      </c>
      <c r="L1" s="8" t="s">
        <v>1577</v>
      </c>
      <c r="M1" s="8" t="s">
        <v>1254</v>
      </c>
    </row>
    <row r="2" spans="1:13" x14ac:dyDescent="0.25">
      <c r="A2" t="s">
        <v>1257</v>
      </c>
      <c r="B2" t="s">
        <v>783</v>
      </c>
      <c r="C2" s="8" t="s">
        <v>46</v>
      </c>
      <c r="D2" s="8" t="str">
        <f>_xlfn.XLOOKUP(Tabla2[[#This Row],[ClienteID]],Clientes!A:A,Clientes!G:G,"No encontrado",0)</f>
        <v>AG02</v>
      </c>
      <c r="E2" s="9">
        <v>44854</v>
      </c>
      <c r="F2" s="10">
        <v>3.8358065787119838E-2</v>
      </c>
      <c r="G2" s="10">
        <f>(1+F2)^(1/12)-1</f>
        <v>3.1416482205290919E-3</v>
      </c>
      <c r="H2" s="8">
        <v>3</v>
      </c>
      <c r="I2" s="11">
        <v>46114</v>
      </c>
      <c r="J2" s="9">
        <f>IF(H2=0,"",EDATE(E2,H2))</f>
        <v>44946</v>
      </c>
      <c r="K2" s="11">
        <f ca="1">IF(C2="TD01",I2*(1+G2)^DATEDIF(E2,TODAY(),"m"),I2*(1+G2)^MIN(DATEDIF(E2,TODAY(),"m"),H2))</f>
        <v>46549.988757136598</v>
      </c>
      <c r="L2" s="11">
        <f ca="1">Tabla2[[#This Row],[SaldoActual]]-Tabla2[[#This Row],[MontoDepositado]]</f>
        <v>435.988757136598</v>
      </c>
      <c r="M2" s="7" t="str">
        <f ca="1">IF(H2=0,"Vigente",IF(TODAY()&gt;J2,"Vencido","Vigente"))</f>
        <v>Vencido</v>
      </c>
    </row>
    <row r="3" spans="1:13" x14ac:dyDescent="0.25">
      <c r="A3" t="s">
        <v>1258</v>
      </c>
      <c r="B3" t="s">
        <v>612</v>
      </c>
      <c r="C3" s="8" t="s">
        <v>45</v>
      </c>
      <c r="D3" s="8" t="str">
        <f>_xlfn.XLOOKUP(Tabla2[[#This Row],[ClienteID]],Clientes!A:A,Clientes!G:G,"No encontrado",0)</f>
        <v>AG05</v>
      </c>
      <c r="E3" s="9">
        <v>45195</v>
      </c>
      <c r="F3" s="10">
        <v>1.0619822504129944E-2</v>
      </c>
      <c r="G3" s="10">
        <f t="shared" ref="G3:G66" si="0">(1+F3)^(1/12)-1</f>
        <v>8.8070661725048183E-4</v>
      </c>
      <c r="H3" s="8"/>
      <c r="I3" s="11">
        <v>10935</v>
      </c>
      <c r="J3" s="9" t="str">
        <f t="shared" ref="J3:J66" si="1">IF(H3=0,"",EDATE(E3,H3))</f>
        <v/>
      </c>
      <c r="K3" s="11">
        <f t="shared" ref="K3:K66" ca="1" si="2">IF(C3="TD01",I3*(1+G3)^DATEDIF(E3,TODAY(),"m"),I3*(1+G3)^MIN(DATEDIF(E3,TODAY(),"m"),H3))</f>
        <v>11267.24113575509</v>
      </c>
      <c r="L3" s="11">
        <f ca="1">Tabla2[[#This Row],[SaldoActual]]-Tabla2[[#This Row],[MontoDepositado]]</f>
        <v>332.24113575509</v>
      </c>
      <c r="M3" s="7" t="str">
        <f t="shared" ref="M3:M66" ca="1" si="3">IF(H3=0,"Vigente",IF(TODAY()&gt;J3,"Vencido","Vigente"))</f>
        <v>Vigente</v>
      </c>
    </row>
    <row r="4" spans="1:13" x14ac:dyDescent="0.25">
      <c r="A4" t="s">
        <v>1259</v>
      </c>
      <c r="B4" t="s">
        <v>441</v>
      </c>
      <c r="C4" s="8" t="s">
        <v>50</v>
      </c>
      <c r="D4" s="8" t="str">
        <f>_xlfn.XLOOKUP(Tabla2[[#This Row],[ClienteID]],Clientes!A:A,Clientes!G:G,"No encontrado",0)</f>
        <v>AG03</v>
      </c>
      <c r="E4" s="9">
        <v>46159</v>
      </c>
      <c r="F4" s="10">
        <v>5.6700153814066817E-2</v>
      </c>
      <c r="G4" s="10">
        <f t="shared" si="0"/>
        <v>4.6064932547522641E-3</v>
      </c>
      <c r="H4" s="8">
        <v>12</v>
      </c>
      <c r="I4" s="11">
        <v>46389</v>
      </c>
      <c r="J4" s="9">
        <f t="shared" si="1"/>
        <v>46524</v>
      </c>
      <c r="K4" s="11">
        <f ca="1">IF(C4="TD01",I4*(1+G4)^DATEDIF(E4,TODAY(),"m"),I4*(1+G4)^MIN(DATEDIF(E4,TODAY(),"m"),H4))</f>
        <v>46817.36559556875</v>
      </c>
      <c r="L4" s="11">
        <f ca="1">Tabla2[[#This Row],[SaldoActual]]-Tabla2[[#This Row],[MontoDepositado]]</f>
        <v>428.36559556875</v>
      </c>
      <c r="M4" s="7" t="str">
        <f t="shared" ca="1" si="3"/>
        <v>Vigente</v>
      </c>
    </row>
    <row r="5" spans="1:13" x14ac:dyDescent="0.25">
      <c r="A5" t="s">
        <v>1260</v>
      </c>
      <c r="B5" t="s">
        <v>257</v>
      </c>
      <c r="C5" s="8" t="s">
        <v>52</v>
      </c>
      <c r="D5" s="8" t="str">
        <f>_xlfn.XLOOKUP(Tabla2[[#This Row],[ClienteID]],Clientes!A:A,Clientes!G:G,"No encontrado",0)</f>
        <v>AG07</v>
      </c>
      <c r="E5" s="9">
        <v>45867</v>
      </c>
      <c r="F5" s="10">
        <v>3.1995841173304951E-2</v>
      </c>
      <c r="G5" s="10">
        <f t="shared" si="0"/>
        <v>2.6280002529386337E-3</v>
      </c>
      <c r="H5" s="8">
        <v>6</v>
      </c>
      <c r="I5" s="11">
        <v>3237</v>
      </c>
      <c r="J5" s="9">
        <f t="shared" si="1"/>
        <v>46051</v>
      </c>
      <c r="K5" s="11">
        <f t="shared" ca="1" si="2"/>
        <v>3288.3775378005253</v>
      </c>
      <c r="L5" s="11">
        <f ca="1">Tabla2[[#This Row],[SaldoActual]]-Tabla2[[#This Row],[MontoDepositado]]</f>
        <v>51.377537800525261</v>
      </c>
      <c r="M5" s="7" t="str">
        <f t="shared" ca="1" si="3"/>
        <v>Vencido</v>
      </c>
    </row>
    <row r="6" spans="1:13" x14ac:dyDescent="0.25">
      <c r="A6" t="s">
        <v>1261</v>
      </c>
      <c r="B6" t="s">
        <v>651</v>
      </c>
      <c r="C6" s="8" t="s">
        <v>48</v>
      </c>
      <c r="D6" s="8" t="str">
        <f>_xlfn.XLOOKUP(Tabla2[[#This Row],[ClienteID]],Clientes!A:A,Clientes!G:G,"No encontrado",0)</f>
        <v>AG03</v>
      </c>
      <c r="E6" s="9">
        <v>44854</v>
      </c>
      <c r="F6" s="10">
        <v>4.1030442425146349E-2</v>
      </c>
      <c r="G6" s="10">
        <f t="shared" si="0"/>
        <v>3.3565399941166696E-3</v>
      </c>
      <c r="H6" s="8">
        <v>6</v>
      </c>
      <c r="I6" s="11">
        <v>39733</v>
      </c>
      <c r="J6" s="9">
        <f t="shared" si="1"/>
        <v>45036</v>
      </c>
      <c r="K6" s="11">
        <f t="shared" ca="1" si="2"/>
        <v>40539.93724278867</v>
      </c>
      <c r="L6" s="11">
        <f ca="1">Tabla2[[#This Row],[SaldoActual]]-Tabla2[[#This Row],[MontoDepositado]]</f>
        <v>806.93724278867012</v>
      </c>
      <c r="M6" s="7" t="str">
        <f t="shared" ca="1" si="3"/>
        <v>Vencido</v>
      </c>
    </row>
    <row r="7" spans="1:13" x14ac:dyDescent="0.25">
      <c r="A7" t="s">
        <v>1262</v>
      </c>
      <c r="B7" t="s">
        <v>615</v>
      </c>
      <c r="C7" s="8" t="s">
        <v>52</v>
      </c>
      <c r="D7" s="8" t="str">
        <f>_xlfn.XLOOKUP(Tabla2[[#This Row],[ClienteID]],Clientes!A:A,Clientes!G:G,"No encontrado",0)</f>
        <v>AG05</v>
      </c>
      <c r="E7" s="9">
        <v>45183</v>
      </c>
      <c r="F7" s="10">
        <v>4.3224198566618258E-2</v>
      </c>
      <c r="G7" s="10">
        <f t="shared" si="0"/>
        <v>3.5325672267516595E-3</v>
      </c>
      <c r="H7" s="8">
        <v>6</v>
      </c>
      <c r="I7" s="11">
        <v>3862</v>
      </c>
      <c r="J7" s="9">
        <f t="shared" si="1"/>
        <v>45365</v>
      </c>
      <c r="K7" s="11">
        <f t="shared" ca="1" si="2"/>
        <v>3944.5829720625552</v>
      </c>
      <c r="L7" s="11">
        <f ca="1">Tabla2[[#This Row],[SaldoActual]]-Tabla2[[#This Row],[MontoDepositado]]</f>
        <v>82.5829720625552</v>
      </c>
      <c r="M7" s="7" t="str">
        <f t="shared" ca="1" si="3"/>
        <v>Vencido</v>
      </c>
    </row>
    <row r="8" spans="1:13" x14ac:dyDescent="0.25">
      <c r="A8" t="s">
        <v>1263</v>
      </c>
      <c r="B8" t="s">
        <v>675</v>
      </c>
      <c r="C8" s="8" t="s">
        <v>52</v>
      </c>
      <c r="D8" s="8" t="str">
        <f>_xlfn.XLOOKUP(Tabla2[[#This Row],[ClienteID]],Clientes!A:A,Clientes!G:G,"No encontrado",0)</f>
        <v>AG07</v>
      </c>
      <c r="E8" s="9">
        <v>45847</v>
      </c>
      <c r="F8" s="10">
        <v>3.948237770536938E-2</v>
      </c>
      <c r="G8" s="10">
        <f t="shared" si="0"/>
        <v>3.2321183592061153E-3</v>
      </c>
      <c r="H8" s="8">
        <v>6</v>
      </c>
      <c r="I8" s="11">
        <v>45364</v>
      </c>
      <c r="J8" s="9">
        <f t="shared" si="1"/>
        <v>46031</v>
      </c>
      <c r="K8" s="11">
        <f t="shared" ca="1" si="2"/>
        <v>46250.870097805942</v>
      </c>
      <c r="L8" s="11">
        <f ca="1">Tabla2[[#This Row],[SaldoActual]]-Tabla2[[#This Row],[MontoDepositado]]</f>
        <v>886.87009780594235</v>
      </c>
      <c r="M8" s="7" t="str">
        <f t="shared" ca="1" si="3"/>
        <v>Vencido</v>
      </c>
    </row>
    <row r="9" spans="1:13" x14ac:dyDescent="0.25">
      <c r="A9" t="s">
        <v>1264</v>
      </c>
      <c r="B9" t="s">
        <v>80</v>
      </c>
      <c r="C9" s="8" t="s">
        <v>45</v>
      </c>
      <c r="D9" s="8" t="str">
        <f>_xlfn.XLOOKUP(Tabla2[[#This Row],[ClienteID]],Clientes!A:A,Clientes!G:G,"No encontrado",0)</f>
        <v>AG04</v>
      </c>
      <c r="E9" s="9">
        <v>45495</v>
      </c>
      <c r="F9" s="10">
        <v>7.3610967259795101E-3</v>
      </c>
      <c r="G9" s="10">
        <f t="shared" si="0"/>
        <v>6.1136481393764264E-4</v>
      </c>
      <c r="H9" s="8"/>
      <c r="I9" s="11">
        <v>24729</v>
      </c>
      <c r="J9" s="9" t="str">
        <f t="shared" si="1"/>
        <v/>
      </c>
      <c r="K9" s="11">
        <f t="shared" ca="1" si="2"/>
        <v>25094.40508116176</v>
      </c>
      <c r="L9" s="11">
        <f ca="1">Tabla2[[#This Row],[SaldoActual]]-Tabla2[[#This Row],[MontoDepositado]]</f>
        <v>365.40508116175988</v>
      </c>
      <c r="M9" s="7" t="str">
        <f t="shared" ca="1" si="3"/>
        <v>Vigente</v>
      </c>
    </row>
    <row r="10" spans="1:13" x14ac:dyDescent="0.25">
      <c r="A10" t="s">
        <v>1265</v>
      </c>
      <c r="B10" t="s">
        <v>377</v>
      </c>
      <c r="C10" s="8" t="s">
        <v>45</v>
      </c>
      <c r="D10" s="8" t="str">
        <f>_xlfn.XLOOKUP(Tabla2[[#This Row],[ClienteID]],Clientes!A:A,Clientes!G:G,"No encontrado",0)</f>
        <v>AG08</v>
      </c>
      <c r="E10" s="9">
        <v>46070</v>
      </c>
      <c r="F10" s="10">
        <v>9.431496746287342E-3</v>
      </c>
      <c r="G10" s="10">
        <f t="shared" si="0"/>
        <v>7.8258087935201281E-4</v>
      </c>
      <c r="H10" s="8"/>
      <c r="I10" s="11">
        <v>45828</v>
      </c>
      <c r="J10" s="9" t="str">
        <f t="shared" si="1"/>
        <v/>
      </c>
      <c r="K10" s="11">
        <f t="shared" ca="1" si="2"/>
        <v>46007.601468142886</v>
      </c>
      <c r="L10" s="11">
        <f ca="1">Tabla2[[#This Row],[SaldoActual]]-Tabla2[[#This Row],[MontoDepositado]]</f>
        <v>179.60146814288601</v>
      </c>
      <c r="M10" s="7" t="str">
        <f t="shared" ca="1" si="3"/>
        <v>Vigente</v>
      </c>
    </row>
    <row r="11" spans="1:13" x14ac:dyDescent="0.25">
      <c r="A11" t="s">
        <v>1266</v>
      </c>
      <c r="B11" t="s">
        <v>344</v>
      </c>
      <c r="C11" s="8" t="s">
        <v>50</v>
      </c>
      <c r="D11" s="8" t="str">
        <f>_xlfn.XLOOKUP(Tabla2[[#This Row],[ClienteID]],Clientes!A:A,Clientes!G:G,"No encontrado",0)</f>
        <v>AG04</v>
      </c>
      <c r="E11" s="9">
        <v>46215</v>
      </c>
      <c r="F11" s="10">
        <v>6.4374894316791012E-2</v>
      </c>
      <c r="G11" s="10">
        <f t="shared" si="0"/>
        <v>5.2125108721003954E-3</v>
      </c>
      <c r="H11" s="8">
        <v>12</v>
      </c>
      <c r="I11" s="11">
        <v>6488</v>
      </c>
      <c r="J11" s="9">
        <f t="shared" si="1"/>
        <v>46580</v>
      </c>
      <c r="K11" s="11">
        <f t="shared" ca="1" si="2"/>
        <v>6521.818770538187</v>
      </c>
      <c r="L11" s="11">
        <f ca="1">Tabla2[[#This Row],[SaldoActual]]-Tabla2[[#This Row],[MontoDepositado]]</f>
        <v>33.818770538186982</v>
      </c>
      <c r="M11" s="7" t="str">
        <f t="shared" ca="1" si="3"/>
        <v>Vigente</v>
      </c>
    </row>
    <row r="12" spans="1:13" x14ac:dyDescent="0.25">
      <c r="A12" t="s">
        <v>1267</v>
      </c>
      <c r="B12" t="s">
        <v>176</v>
      </c>
      <c r="C12" s="8" t="s">
        <v>48</v>
      </c>
      <c r="D12" s="8" t="str">
        <f>_xlfn.XLOOKUP(Tabla2[[#This Row],[ClienteID]],Clientes!A:A,Clientes!G:G,"No encontrado",0)</f>
        <v>AG01</v>
      </c>
      <c r="E12" s="9">
        <v>45584</v>
      </c>
      <c r="F12" s="10">
        <v>4.3920183688569828E-2</v>
      </c>
      <c r="G12" s="10">
        <f t="shared" si="0"/>
        <v>3.5883422510003538E-3</v>
      </c>
      <c r="H12" s="8">
        <v>6</v>
      </c>
      <c r="I12" s="11">
        <v>12960</v>
      </c>
      <c r="J12" s="9">
        <f t="shared" si="1"/>
        <v>45766</v>
      </c>
      <c r="K12" s="11">
        <f t="shared" ca="1" si="2"/>
        <v>13241.544635148352</v>
      </c>
      <c r="L12" s="11">
        <f ca="1">Tabla2[[#This Row],[SaldoActual]]-Tabla2[[#This Row],[MontoDepositado]]</f>
        <v>281.54463514835152</v>
      </c>
      <c r="M12" s="7" t="str">
        <f t="shared" ca="1" si="3"/>
        <v>Vencido</v>
      </c>
    </row>
    <row r="13" spans="1:13" x14ac:dyDescent="0.25">
      <c r="A13" t="s">
        <v>1268</v>
      </c>
      <c r="B13" t="s">
        <v>591</v>
      </c>
      <c r="C13" s="8" t="s">
        <v>45</v>
      </c>
      <c r="D13" s="8" t="str">
        <f>_xlfn.XLOOKUP(Tabla2[[#This Row],[ClienteID]],Clientes!A:A,Clientes!G:G,"No encontrado",0)</f>
        <v>AG06</v>
      </c>
      <c r="E13" s="9">
        <v>45596</v>
      </c>
      <c r="F13" s="10">
        <v>7.1677703218448012E-3</v>
      </c>
      <c r="G13" s="10">
        <f t="shared" si="0"/>
        <v>5.9536081966626853E-4</v>
      </c>
      <c r="H13" s="8"/>
      <c r="I13" s="11">
        <v>10104</v>
      </c>
      <c r="J13" s="9" t="str">
        <f t="shared" si="1"/>
        <v/>
      </c>
      <c r="K13" s="11">
        <f t="shared" ca="1" si="2"/>
        <v>10231.080979387405</v>
      </c>
      <c r="L13" s="11">
        <f ca="1">Tabla2[[#This Row],[SaldoActual]]-Tabla2[[#This Row],[MontoDepositado]]</f>
        <v>127.08097938740502</v>
      </c>
      <c r="M13" s="7" t="str">
        <f t="shared" ca="1" si="3"/>
        <v>Vigente</v>
      </c>
    </row>
    <row r="14" spans="1:13" x14ac:dyDescent="0.25">
      <c r="A14" t="s">
        <v>1269</v>
      </c>
      <c r="B14" t="s">
        <v>216</v>
      </c>
      <c r="C14" s="8" t="s">
        <v>45</v>
      </c>
      <c r="D14" s="8" t="str">
        <f>_xlfn.XLOOKUP(Tabla2[[#This Row],[ClienteID]],Clientes!A:A,Clientes!G:G,"No encontrado",0)</f>
        <v>AG07</v>
      </c>
      <c r="E14" s="9">
        <v>46113</v>
      </c>
      <c r="F14" s="10">
        <v>6.6689185622468179E-3</v>
      </c>
      <c r="G14" s="10">
        <f t="shared" si="0"/>
        <v>5.5405173820566311E-4</v>
      </c>
      <c r="H14" s="8"/>
      <c r="I14" s="11">
        <v>48142</v>
      </c>
      <c r="J14" s="9" t="str">
        <f t="shared" si="1"/>
        <v/>
      </c>
      <c r="K14" s="11">
        <f t="shared" ca="1" si="2"/>
        <v>48248.781337739034</v>
      </c>
      <c r="L14" s="11">
        <f ca="1">Tabla2[[#This Row],[SaldoActual]]-Tabla2[[#This Row],[MontoDepositado]]</f>
        <v>106.78133773903392</v>
      </c>
      <c r="M14" s="7" t="str">
        <f t="shared" ca="1" si="3"/>
        <v>Vigente</v>
      </c>
    </row>
    <row r="15" spans="1:13" x14ac:dyDescent="0.25">
      <c r="A15" t="s">
        <v>1270</v>
      </c>
      <c r="B15" t="s">
        <v>426</v>
      </c>
      <c r="C15" s="8" t="s">
        <v>52</v>
      </c>
      <c r="D15" s="8" t="str">
        <f>_xlfn.XLOOKUP(Tabla2[[#This Row],[ClienteID]],Clientes!A:A,Clientes!G:G,"No encontrado",0)</f>
        <v>AG05</v>
      </c>
      <c r="E15" s="9">
        <v>45820</v>
      </c>
      <c r="F15" s="10">
        <v>3.4412296033163835E-2</v>
      </c>
      <c r="G15" s="10">
        <f t="shared" si="0"/>
        <v>2.8234313556865231E-3</v>
      </c>
      <c r="H15" s="8">
        <v>6</v>
      </c>
      <c r="I15" s="11">
        <v>17895</v>
      </c>
      <c r="J15" s="9">
        <f t="shared" si="1"/>
        <v>46003</v>
      </c>
      <c r="K15" s="11">
        <f t="shared" ca="1" si="2"/>
        <v>18200.299718172315</v>
      </c>
      <c r="L15" s="11">
        <f ca="1">Tabla2[[#This Row],[SaldoActual]]-Tabla2[[#This Row],[MontoDepositado]]</f>
        <v>305.2997181723149</v>
      </c>
      <c r="M15" s="7" t="str">
        <f t="shared" ca="1" si="3"/>
        <v>Vencido</v>
      </c>
    </row>
    <row r="16" spans="1:13" x14ac:dyDescent="0.25">
      <c r="A16" t="s">
        <v>1271</v>
      </c>
      <c r="B16" t="s">
        <v>320</v>
      </c>
      <c r="C16" s="8" t="s">
        <v>45</v>
      </c>
      <c r="D16" s="8" t="str">
        <f>_xlfn.XLOOKUP(Tabla2[[#This Row],[ClienteID]],Clientes!A:A,Clientes!G:G,"No encontrado",0)</f>
        <v>AG04</v>
      </c>
      <c r="E16" s="9">
        <v>45914</v>
      </c>
      <c r="F16" s="10">
        <v>9.2422025460116679E-3</v>
      </c>
      <c r="G16" s="10">
        <f t="shared" si="0"/>
        <v>7.6694017603862186E-4</v>
      </c>
      <c r="H16" s="8"/>
      <c r="I16" s="11">
        <v>35459</v>
      </c>
      <c r="J16" s="9" t="str">
        <f t="shared" si="1"/>
        <v/>
      </c>
      <c r="K16" s="11">
        <f t="shared" ca="1" si="2"/>
        <v>35731.889798975026</v>
      </c>
      <c r="L16" s="11">
        <f ca="1">Tabla2[[#This Row],[SaldoActual]]-Tabla2[[#This Row],[MontoDepositado]]</f>
        <v>272.88979897502577</v>
      </c>
      <c r="M16" s="7" t="str">
        <f t="shared" ca="1" si="3"/>
        <v>Vigente</v>
      </c>
    </row>
    <row r="17" spans="1:13" x14ac:dyDescent="0.25">
      <c r="A17" t="s">
        <v>1272</v>
      </c>
      <c r="B17" t="s">
        <v>802</v>
      </c>
      <c r="C17" s="8" t="s">
        <v>52</v>
      </c>
      <c r="D17" s="8" t="str">
        <f>_xlfn.XLOOKUP(Tabla2[[#This Row],[ClienteID]],Clientes!A:A,Clientes!G:G,"No encontrado",0)</f>
        <v>AG06</v>
      </c>
      <c r="E17" s="9">
        <v>46162</v>
      </c>
      <c r="F17" s="10">
        <v>3.3168018426670193E-2</v>
      </c>
      <c r="G17" s="10">
        <f t="shared" si="0"/>
        <v>2.722852569154055E-3</v>
      </c>
      <c r="H17" s="8">
        <v>6</v>
      </c>
      <c r="I17" s="11">
        <v>35548</v>
      </c>
      <c r="J17" s="9">
        <f t="shared" si="1"/>
        <v>46346</v>
      </c>
      <c r="K17" s="11">
        <f t="shared" ca="1" si="2"/>
        <v>35741.847476502051</v>
      </c>
      <c r="L17" s="11">
        <f ca="1">Tabla2[[#This Row],[SaldoActual]]-Tabla2[[#This Row],[MontoDepositado]]</f>
        <v>193.84747650205099</v>
      </c>
      <c r="M17" s="7" t="str">
        <f t="shared" ca="1" si="3"/>
        <v>Vigente</v>
      </c>
    </row>
    <row r="18" spans="1:13" x14ac:dyDescent="0.25">
      <c r="A18" t="s">
        <v>1273</v>
      </c>
      <c r="B18" t="s">
        <v>790</v>
      </c>
      <c r="C18" s="8" t="s">
        <v>46</v>
      </c>
      <c r="D18" s="8" t="str">
        <f>_xlfn.XLOOKUP(Tabla2[[#This Row],[ClienteID]],Clientes!A:A,Clientes!G:G,"No encontrado",0)</f>
        <v>AG05</v>
      </c>
      <c r="E18" s="9">
        <v>44663</v>
      </c>
      <c r="F18" s="10">
        <v>3.7197834566335401E-2</v>
      </c>
      <c r="G18" s="10">
        <f t="shared" si="0"/>
        <v>3.0481935654160797E-3</v>
      </c>
      <c r="H18" s="8">
        <v>3</v>
      </c>
      <c r="I18" s="11">
        <v>20857</v>
      </c>
      <c r="J18" s="9">
        <f t="shared" si="1"/>
        <v>44754</v>
      </c>
      <c r="K18" s="11">
        <f t="shared" ca="1" si="2"/>
        <v>21048.310487744777</v>
      </c>
      <c r="L18" s="11">
        <f ca="1">Tabla2[[#This Row],[SaldoActual]]-Tabla2[[#This Row],[MontoDepositado]]</f>
        <v>191.31048774477676</v>
      </c>
      <c r="M18" s="7" t="str">
        <f t="shared" ca="1" si="3"/>
        <v>Vencido</v>
      </c>
    </row>
    <row r="19" spans="1:13" x14ac:dyDescent="0.25">
      <c r="A19" t="s">
        <v>1274</v>
      </c>
      <c r="B19" t="s">
        <v>242</v>
      </c>
      <c r="C19" s="8" t="s">
        <v>52</v>
      </c>
      <c r="D19" s="8" t="str">
        <f>_xlfn.XLOOKUP(Tabla2[[#This Row],[ClienteID]],Clientes!A:A,Clientes!G:G,"No encontrado",0)</f>
        <v>AG06</v>
      </c>
      <c r="E19" s="9">
        <v>45547</v>
      </c>
      <c r="F19" s="10">
        <v>4.1139447549495486E-2</v>
      </c>
      <c r="G19" s="10">
        <f t="shared" si="0"/>
        <v>3.3652946016844432E-3</v>
      </c>
      <c r="H19" s="8">
        <v>6</v>
      </c>
      <c r="I19" s="11">
        <v>27701</v>
      </c>
      <c r="J19" s="9">
        <f t="shared" si="1"/>
        <v>45728</v>
      </c>
      <c r="K19" s="11">
        <f t="shared" ca="1" si="2"/>
        <v>28265.0591168104</v>
      </c>
      <c r="L19" s="11">
        <f ca="1">Tabla2[[#This Row],[SaldoActual]]-Tabla2[[#This Row],[MontoDepositado]]</f>
        <v>564.05911681040016</v>
      </c>
      <c r="M19" s="7" t="str">
        <f t="shared" ca="1" si="3"/>
        <v>Vencido</v>
      </c>
    </row>
    <row r="20" spans="1:13" x14ac:dyDescent="0.25">
      <c r="A20" t="s">
        <v>1275</v>
      </c>
      <c r="B20" t="s">
        <v>744</v>
      </c>
      <c r="C20" s="8" t="s">
        <v>48</v>
      </c>
      <c r="D20" s="8" t="str">
        <f>_xlfn.XLOOKUP(Tabla2[[#This Row],[ClienteID]],Clientes!A:A,Clientes!G:G,"No encontrado",0)</f>
        <v>AG07</v>
      </c>
      <c r="E20" s="9">
        <v>45826</v>
      </c>
      <c r="F20" s="10">
        <v>4.7546247311902309E-2</v>
      </c>
      <c r="G20" s="10">
        <f t="shared" si="0"/>
        <v>3.8783783545979222E-3</v>
      </c>
      <c r="H20" s="8">
        <v>6</v>
      </c>
      <c r="I20" s="11">
        <v>18661</v>
      </c>
      <c r="J20" s="9">
        <f t="shared" si="1"/>
        <v>46009</v>
      </c>
      <c r="K20" s="11">
        <f t="shared" ca="1" si="2"/>
        <v>19099.478777809945</v>
      </c>
      <c r="L20" s="11">
        <f ca="1">Tabla2[[#This Row],[SaldoActual]]-Tabla2[[#This Row],[MontoDepositado]]</f>
        <v>438.47877780994531</v>
      </c>
      <c r="M20" s="7" t="str">
        <f t="shared" ca="1" si="3"/>
        <v>Vencido</v>
      </c>
    </row>
    <row r="21" spans="1:13" x14ac:dyDescent="0.25">
      <c r="A21" t="s">
        <v>1276</v>
      </c>
      <c r="B21" t="s">
        <v>365</v>
      </c>
      <c r="C21" s="8" t="s">
        <v>48</v>
      </c>
      <c r="D21" s="8" t="str">
        <f>_xlfn.XLOOKUP(Tabla2[[#This Row],[ClienteID]],Clientes!A:A,Clientes!G:G,"No encontrado",0)</f>
        <v>AG06</v>
      </c>
      <c r="E21" s="9">
        <v>45432</v>
      </c>
      <c r="F21" s="10">
        <v>4.8174068644065163E-2</v>
      </c>
      <c r="G21" s="10">
        <f t="shared" si="0"/>
        <v>3.9285020924149094E-3</v>
      </c>
      <c r="H21" s="8">
        <v>6</v>
      </c>
      <c r="I21" s="11">
        <v>13033</v>
      </c>
      <c r="J21" s="9">
        <f t="shared" si="1"/>
        <v>45616</v>
      </c>
      <c r="K21" s="11">
        <f t="shared" ca="1" si="2"/>
        <v>13343.233956327998</v>
      </c>
      <c r="L21" s="11">
        <f ca="1">Tabla2[[#This Row],[SaldoActual]]-Tabla2[[#This Row],[MontoDepositado]]</f>
        <v>310.23395632799838</v>
      </c>
      <c r="M21" s="7" t="str">
        <f t="shared" ca="1" si="3"/>
        <v>Vencido</v>
      </c>
    </row>
    <row r="22" spans="1:13" x14ac:dyDescent="0.25">
      <c r="A22" t="s">
        <v>1277</v>
      </c>
      <c r="B22" t="s">
        <v>96</v>
      </c>
      <c r="C22" s="8" t="s">
        <v>48</v>
      </c>
      <c r="D22" s="8" t="str">
        <f>_xlfn.XLOOKUP(Tabla2[[#This Row],[ClienteID]],Clientes!A:A,Clientes!G:G,"No encontrado",0)</f>
        <v>AG04</v>
      </c>
      <c r="E22" s="9">
        <v>46038</v>
      </c>
      <c r="F22" s="10">
        <v>4.6162855376238737E-2</v>
      </c>
      <c r="G22" s="10">
        <f t="shared" si="0"/>
        <v>3.7678344249187923E-3</v>
      </c>
      <c r="H22" s="8">
        <v>6</v>
      </c>
      <c r="I22" s="11">
        <v>2720</v>
      </c>
      <c r="J22" s="9">
        <f t="shared" si="1"/>
        <v>46219</v>
      </c>
      <c r="K22" s="11">
        <f t="shared" ca="1" si="2"/>
        <v>2782.0731962361392</v>
      </c>
      <c r="L22" s="11">
        <f ca="1">Tabla2[[#This Row],[SaldoActual]]-Tabla2[[#This Row],[MontoDepositado]]</f>
        <v>62.073196236139211</v>
      </c>
      <c r="M22" s="7" t="str">
        <f t="shared" ca="1" si="3"/>
        <v>Vencido</v>
      </c>
    </row>
    <row r="23" spans="1:13" x14ac:dyDescent="0.25">
      <c r="A23" t="s">
        <v>1278</v>
      </c>
      <c r="B23" t="s">
        <v>353</v>
      </c>
      <c r="C23" s="8" t="s">
        <v>50</v>
      </c>
      <c r="D23" s="8" t="str">
        <f>_xlfn.XLOOKUP(Tabla2[[#This Row],[ClienteID]],Clientes!A:A,Clientes!G:G,"No encontrado",0)</f>
        <v>AG05</v>
      </c>
      <c r="E23" s="9">
        <v>46080</v>
      </c>
      <c r="F23" s="10">
        <v>6.8377277890434213E-2</v>
      </c>
      <c r="G23" s="10">
        <f t="shared" si="0"/>
        <v>5.5269621604550068E-3</v>
      </c>
      <c r="H23" s="8">
        <v>12</v>
      </c>
      <c r="I23" s="11">
        <v>39107</v>
      </c>
      <c r="J23" s="9">
        <f t="shared" si="1"/>
        <v>46445</v>
      </c>
      <c r="K23" s="11">
        <f t="shared" ca="1" si="2"/>
        <v>40199.726891358012</v>
      </c>
      <c r="L23" s="11">
        <f ca="1">Tabla2[[#This Row],[SaldoActual]]-Tabla2[[#This Row],[MontoDepositado]]</f>
        <v>1092.7268913580119</v>
      </c>
      <c r="M23" s="7" t="str">
        <f t="shared" ca="1" si="3"/>
        <v>Vigente</v>
      </c>
    </row>
    <row r="24" spans="1:13" x14ac:dyDescent="0.25">
      <c r="A24" t="s">
        <v>1279</v>
      </c>
      <c r="B24" t="s">
        <v>133</v>
      </c>
      <c r="C24" s="8" t="s">
        <v>46</v>
      </c>
      <c r="D24" s="8" t="str">
        <f>_xlfn.XLOOKUP(Tabla2[[#This Row],[ClienteID]],Clientes!A:A,Clientes!G:G,"No encontrado",0)</f>
        <v>AG01</v>
      </c>
      <c r="E24" s="9">
        <v>46221</v>
      </c>
      <c r="F24" s="10">
        <v>3.9327310633496558E-2</v>
      </c>
      <c r="G24" s="10">
        <f t="shared" si="0"/>
        <v>3.2196458931013083E-3</v>
      </c>
      <c r="H24" s="8">
        <v>3</v>
      </c>
      <c r="I24" s="11">
        <v>9934</v>
      </c>
      <c r="J24" s="9">
        <f t="shared" si="1"/>
        <v>46313</v>
      </c>
      <c r="K24" s="11">
        <f t="shared" ca="1" si="2"/>
        <v>9934</v>
      </c>
      <c r="L24" s="11">
        <f ca="1">Tabla2[[#This Row],[SaldoActual]]-Tabla2[[#This Row],[MontoDepositado]]</f>
        <v>0</v>
      </c>
      <c r="M24" s="7" t="str">
        <f t="shared" ca="1" si="3"/>
        <v>Vigente</v>
      </c>
    </row>
    <row r="25" spans="1:13" x14ac:dyDescent="0.25">
      <c r="A25" t="s">
        <v>1280</v>
      </c>
      <c r="B25" t="s">
        <v>73</v>
      </c>
      <c r="C25" s="8" t="s">
        <v>52</v>
      </c>
      <c r="D25" s="8" t="str">
        <f>_xlfn.XLOOKUP(Tabla2[[#This Row],[ClienteID]],Clientes!A:A,Clientes!G:G,"No encontrado",0)</f>
        <v>AG01</v>
      </c>
      <c r="E25" s="9">
        <v>45522</v>
      </c>
      <c r="F25" s="10">
        <v>4.135735152980953E-2</v>
      </c>
      <c r="G25" s="10">
        <f t="shared" si="0"/>
        <v>3.3827927637264388E-3</v>
      </c>
      <c r="H25" s="8">
        <v>6</v>
      </c>
      <c r="I25" s="11">
        <v>40496</v>
      </c>
      <c r="J25" s="9">
        <f t="shared" si="1"/>
        <v>45706</v>
      </c>
      <c r="K25" s="11">
        <f t="shared" ca="1" si="2"/>
        <v>41324.919996614539</v>
      </c>
      <c r="L25" s="11">
        <f ca="1">Tabla2[[#This Row],[SaldoActual]]-Tabla2[[#This Row],[MontoDepositado]]</f>
        <v>828.91999661453883</v>
      </c>
      <c r="M25" s="7" t="str">
        <f t="shared" ca="1" si="3"/>
        <v>Vencido</v>
      </c>
    </row>
    <row r="26" spans="1:13" x14ac:dyDescent="0.25">
      <c r="A26" t="s">
        <v>1281</v>
      </c>
      <c r="B26" t="s">
        <v>297</v>
      </c>
      <c r="C26" s="8" t="s">
        <v>46</v>
      </c>
      <c r="D26" s="8" t="str">
        <f>_xlfn.XLOOKUP(Tabla2[[#This Row],[ClienteID]],Clientes!A:A,Clientes!G:G,"No encontrado",0)</f>
        <v>AG03</v>
      </c>
      <c r="E26" s="9">
        <v>45185</v>
      </c>
      <c r="F26" s="10">
        <v>3.6534757414222185E-2</v>
      </c>
      <c r="G26" s="10">
        <f t="shared" si="0"/>
        <v>2.9947407847439322E-3</v>
      </c>
      <c r="H26" s="8">
        <v>3</v>
      </c>
      <c r="I26" s="11">
        <v>9483</v>
      </c>
      <c r="J26" s="9">
        <f t="shared" si="1"/>
        <v>45276</v>
      </c>
      <c r="K26" s="11">
        <f t="shared" ca="1" si="2"/>
        <v>9568.4527793523575</v>
      </c>
      <c r="L26" s="11">
        <f ca="1">Tabla2[[#This Row],[SaldoActual]]-Tabla2[[#This Row],[MontoDepositado]]</f>
        <v>85.452779352357538</v>
      </c>
      <c r="M26" s="7" t="str">
        <f t="shared" ca="1" si="3"/>
        <v>Vencido</v>
      </c>
    </row>
    <row r="27" spans="1:13" x14ac:dyDescent="0.25">
      <c r="A27" t="s">
        <v>1282</v>
      </c>
      <c r="B27" t="s">
        <v>507</v>
      </c>
      <c r="C27" s="8" t="s">
        <v>46</v>
      </c>
      <c r="D27" s="8" t="str">
        <f>_xlfn.XLOOKUP(Tabla2[[#This Row],[ClienteID]],Clientes!A:A,Clientes!G:G,"No encontrado",0)</f>
        <v>AG07</v>
      </c>
      <c r="E27" s="9">
        <v>46129</v>
      </c>
      <c r="F27" s="10">
        <v>3.3676635244811771E-2</v>
      </c>
      <c r="G27" s="10">
        <f t="shared" si="0"/>
        <v>2.7639790414055732E-3</v>
      </c>
      <c r="H27" s="8">
        <v>3</v>
      </c>
      <c r="I27" s="11">
        <v>7778</v>
      </c>
      <c r="J27" s="9">
        <f t="shared" si="1"/>
        <v>46220</v>
      </c>
      <c r="K27" s="11">
        <f t="shared" ca="1" si="2"/>
        <v>7842.6731131526185</v>
      </c>
      <c r="L27" s="11">
        <f ca="1">Tabla2[[#This Row],[SaldoActual]]-Tabla2[[#This Row],[MontoDepositado]]</f>
        <v>64.673113152618498</v>
      </c>
      <c r="M27" s="7" t="str">
        <f t="shared" ca="1" si="3"/>
        <v>Vencido</v>
      </c>
    </row>
    <row r="28" spans="1:13" x14ac:dyDescent="0.25">
      <c r="A28" t="s">
        <v>1283</v>
      </c>
      <c r="B28" t="s">
        <v>323</v>
      </c>
      <c r="C28" s="8" t="s">
        <v>52</v>
      </c>
      <c r="D28" s="8" t="str">
        <f>_xlfn.XLOOKUP(Tabla2[[#This Row],[ClienteID]],Clientes!A:A,Clientes!G:G,"No encontrado",0)</f>
        <v>AG05</v>
      </c>
      <c r="E28" s="9">
        <v>46166</v>
      </c>
      <c r="F28" s="10">
        <v>3.9937559837143907E-2</v>
      </c>
      <c r="G28" s="10">
        <f t="shared" si="0"/>
        <v>3.2687200466539057E-3</v>
      </c>
      <c r="H28" s="8">
        <v>6</v>
      </c>
      <c r="I28" s="11">
        <v>7905</v>
      </c>
      <c r="J28" s="9">
        <f t="shared" si="1"/>
        <v>46350</v>
      </c>
      <c r="K28" s="11">
        <f t="shared" ca="1" si="2"/>
        <v>7956.7629251531253</v>
      </c>
      <c r="L28" s="11">
        <f ca="1">Tabla2[[#This Row],[SaldoActual]]-Tabla2[[#This Row],[MontoDepositado]]</f>
        <v>51.762925153125252</v>
      </c>
      <c r="M28" s="7" t="str">
        <f t="shared" ca="1" si="3"/>
        <v>Vigente</v>
      </c>
    </row>
    <row r="29" spans="1:13" x14ac:dyDescent="0.25">
      <c r="A29" t="s">
        <v>1284</v>
      </c>
      <c r="B29" t="s">
        <v>594</v>
      </c>
      <c r="C29" s="8" t="s">
        <v>52</v>
      </c>
      <c r="D29" s="8" t="str">
        <f>_xlfn.XLOOKUP(Tabla2[[#This Row],[ClienteID]],Clientes!A:A,Clientes!G:G,"No encontrado",0)</f>
        <v>AG04</v>
      </c>
      <c r="E29" s="9">
        <v>45877</v>
      </c>
      <c r="F29" s="10">
        <v>3.3211551505635907E-2</v>
      </c>
      <c r="G29" s="10">
        <f t="shared" si="0"/>
        <v>2.7263733558156034E-3</v>
      </c>
      <c r="H29" s="8">
        <v>6</v>
      </c>
      <c r="I29" s="11">
        <v>1399</v>
      </c>
      <c r="J29" s="9">
        <f t="shared" si="1"/>
        <v>46061</v>
      </c>
      <c r="K29" s="11">
        <f t="shared" ca="1" si="2"/>
        <v>1422.0417299848775</v>
      </c>
      <c r="L29" s="11">
        <f ca="1">Tabla2[[#This Row],[SaldoActual]]-Tabla2[[#This Row],[MontoDepositado]]</f>
        <v>23.04172998487752</v>
      </c>
      <c r="M29" s="7" t="str">
        <f t="shared" ca="1" si="3"/>
        <v>Vencido</v>
      </c>
    </row>
    <row r="30" spans="1:13" x14ac:dyDescent="0.25">
      <c r="A30" t="s">
        <v>1285</v>
      </c>
      <c r="B30" t="s">
        <v>573</v>
      </c>
      <c r="C30" s="8" t="s">
        <v>46</v>
      </c>
      <c r="D30" s="8" t="str">
        <f>_xlfn.XLOOKUP(Tabla2[[#This Row],[ClienteID]],Clientes!A:A,Clientes!G:G,"No encontrado",0)</f>
        <v>AG04</v>
      </c>
      <c r="E30" s="9">
        <v>46216</v>
      </c>
      <c r="F30" s="10">
        <v>3.6842203516126978E-2</v>
      </c>
      <c r="G30" s="10">
        <f t="shared" si="0"/>
        <v>3.0195288994834257E-3</v>
      </c>
      <c r="H30" s="8">
        <v>3</v>
      </c>
      <c r="I30" s="11">
        <v>33265</v>
      </c>
      <c r="J30" s="9">
        <f t="shared" si="1"/>
        <v>46308</v>
      </c>
      <c r="K30" s="11">
        <f t="shared" ca="1" si="2"/>
        <v>33265</v>
      </c>
      <c r="L30" s="11">
        <f ca="1">Tabla2[[#This Row],[SaldoActual]]-Tabla2[[#This Row],[MontoDepositado]]</f>
        <v>0</v>
      </c>
      <c r="M30" s="7" t="str">
        <f t="shared" ca="1" si="3"/>
        <v>Vigente</v>
      </c>
    </row>
    <row r="31" spans="1:13" x14ac:dyDescent="0.25">
      <c r="A31" t="s">
        <v>1286</v>
      </c>
      <c r="B31" t="s">
        <v>465</v>
      </c>
      <c r="C31" s="8" t="s">
        <v>52</v>
      </c>
      <c r="D31" s="8" t="str">
        <f>_xlfn.XLOOKUP(Tabla2[[#This Row],[ClienteID]],Clientes!A:A,Clientes!G:G,"No encontrado",0)</f>
        <v>AG04</v>
      </c>
      <c r="E31" s="9">
        <v>46192</v>
      </c>
      <c r="F31" s="10">
        <v>3.9107591940598201E-2</v>
      </c>
      <c r="G31" s="10">
        <f t="shared" si="0"/>
        <v>3.2019704001933214E-3</v>
      </c>
      <c r="H31" s="8">
        <v>6</v>
      </c>
      <c r="I31" s="11">
        <v>33536</v>
      </c>
      <c r="J31" s="9">
        <f t="shared" si="1"/>
        <v>46375</v>
      </c>
      <c r="K31" s="11">
        <f t="shared" ca="1" si="2"/>
        <v>33643.38127934088</v>
      </c>
      <c r="L31" s="11">
        <f ca="1">Tabla2[[#This Row],[SaldoActual]]-Tabla2[[#This Row],[MontoDepositado]]</f>
        <v>107.3812793408797</v>
      </c>
      <c r="M31" s="7" t="str">
        <f t="shared" ca="1" si="3"/>
        <v>Vigente</v>
      </c>
    </row>
    <row r="32" spans="1:13" x14ac:dyDescent="0.25">
      <c r="A32" t="s">
        <v>1287</v>
      </c>
      <c r="B32" t="s">
        <v>633</v>
      </c>
      <c r="C32" s="8" t="s">
        <v>48</v>
      </c>
      <c r="D32" s="8" t="str">
        <f>_xlfn.XLOOKUP(Tabla2[[#This Row],[ClienteID]],Clientes!A:A,Clientes!G:G,"No encontrado",0)</f>
        <v>AG05</v>
      </c>
      <c r="E32" s="9">
        <v>45694</v>
      </c>
      <c r="F32" s="10">
        <v>4.7252391942197686E-2</v>
      </c>
      <c r="G32" s="10">
        <f t="shared" si="0"/>
        <v>3.8549081906096294E-3</v>
      </c>
      <c r="H32" s="8">
        <v>6</v>
      </c>
      <c r="I32" s="11">
        <v>7764</v>
      </c>
      <c r="J32" s="9">
        <f t="shared" si="1"/>
        <v>45875</v>
      </c>
      <c r="K32" s="11">
        <f t="shared" ca="1" si="2"/>
        <v>7945.3165966843999</v>
      </c>
      <c r="L32" s="11">
        <f ca="1">Tabla2[[#This Row],[SaldoActual]]-Tabla2[[#This Row],[MontoDepositado]]</f>
        <v>181.31659668439988</v>
      </c>
      <c r="M32" s="7" t="str">
        <f t="shared" ca="1" si="3"/>
        <v>Vencido</v>
      </c>
    </row>
    <row r="33" spans="1:13" x14ac:dyDescent="0.25">
      <c r="A33" t="s">
        <v>1288</v>
      </c>
      <c r="B33" t="s">
        <v>285</v>
      </c>
      <c r="C33" s="8" t="s">
        <v>50</v>
      </c>
      <c r="D33" s="8" t="str">
        <f>_xlfn.XLOOKUP(Tabla2[[#This Row],[ClienteID]],Clientes!A:A,Clientes!G:G,"No encontrado",0)</f>
        <v>AG05</v>
      </c>
      <c r="E33" s="9">
        <v>46214</v>
      </c>
      <c r="F33" s="10">
        <v>5.5010491308490013E-2</v>
      </c>
      <c r="G33" s="10">
        <f t="shared" si="0"/>
        <v>4.4725313162872204E-3</v>
      </c>
      <c r="H33" s="8">
        <v>12</v>
      </c>
      <c r="I33" s="11">
        <v>2620</v>
      </c>
      <c r="J33" s="9">
        <f t="shared" si="1"/>
        <v>46579</v>
      </c>
      <c r="K33" s="11">
        <f t="shared" ca="1" si="2"/>
        <v>2631.7180320486727</v>
      </c>
      <c r="L33" s="11">
        <f ca="1">Tabla2[[#This Row],[SaldoActual]]-Tabla2[[#This Row],[MontoDepositado]]</f>
        <v>11.71803204867274</v>
      </c>
      <c r="M33" s="7" t="str">
        <f t="shared" ca="1" si="3"/>
        <v>Vigente</v>
      </c>
    </row>
    <row r="34" spans="1:13" x14ac:dyDescent="0.25">
      <c r="A34" t="s">
        <v>1289</v>
      </c>
      <c r="B34" t="s">
        <v>717</v>
      </c>
      <c r="C34" s="8" t="s">
        <v>48</v>
      </c>
      <c r="D34" s="8" t="str">
        <f>_xlfn.XLOOKUP(Tabla2[[#This Row],[ClienteID]],Clientes!A:A,Clientes!G:G,"No encontrado",0)</f>
        <v>AG08</v>
      </c>
      <c r="E34" s="9">
        <v>45995</v>
      </c>
      <c r="F34" s="10">
        <v>4.1056486395694834E-2</v>
      </c>
      <c r="G34" s="10">
        <f t="shared" si="0"/>
        <v>3.3586317587988024E-3</v>
      </c>
      <c r="H34" s="8">
        <v>6</v>
      </c>
      <c r="I34" s="11">
        <v>45938</v>
      </c>
      <c r="J34" s="9">
        <f t="shared" si="1"/>
        <v>46177</v>
      </c>
      <c r="K34" s="11">
        <f t="shared" ca="1" si="2"/>
        <v>46871.5408412826</v>
      </c>
      <c r="L34" s="11">
        <f ca="1">Tabla2[[#This Row],[SaldoActual]]-Tabla2[[#This Row],[MontoDepositado]]</f>
        <v>933.54084128260001</v>
      </c>
      <c r="M34" s="7" t="str">
        <f t="shared" ca="1" si="3"/>
        <v>Vencido</v>
      </c>
    </row>
    <row r="35" spans="1:13" x14ac:dyDescent="0.25">
      <c r="A35" t="s">
        <v>1290</v>
      </c>
      <c r="B35" t="s">
        <v>279</v>
      </c>
      <c r="C35" s="8" t="s">
        <v>50</v>
      </c>
      <c r="D35" s="8" t="str">
        <f>_xlfn.XLOOKUP(Tabla2[[#This Row],[ClienteID]],Clientes!A:A,Clientes!G:G,"No encontrado",0)</f>
        <v>AG06</v>
      </c>
      <c r="E35" s="9">
        <v>46182</v>
      </c>
      <c r="F35" s="10">
        <v>6.1425066902113454E-2</v>
      </c>
      <c r="G35" s="10">
        <f t="shared" si="0"/>
        <v>4.9800601460028293E-3</v>
      </c>
      <c r="H35" s="8">
        <v>12</v>
      </c>
      <c r="I35" s="11">
        <v>32740</v>
      </c>
      <c r="J35" s="9">
        <f t="shared" si="1"/>
        <v>46547</v>
      </c>
      <c r="K35" s="11">
        <f t="shared" ca="1" si="2"/>
        <v>33066.906323069416</v>
      </c>
      <c r="L35" s="11">
        <f ca="1">Tabla2[[#This Row],[SaldoActual]]-Tabla2[[#This Row],[MontoDepositado]]</f>
        <v>326.90632306941552</v>
      </c>
      <c r="M35" s="7" t="str">
        <f t="shared" ca="1" si="3"/>
        <v>Vigente</v>
      </c>
    </row>
    <row r="36" spans="1:13" x14ac:dyDescent="0.25">
      <c r="A36" t="s">
        <v>1291</v>
      </c>
      <c r="B36" t="s">
        <v>108</v>
      </c>
      <c r="C36" s="8" t="s">
        <v>45</v>
      </c>
      <c r="D36" s="8" t="str">
        <f>_xlfn.XLOOKUP(Tabla2[[#This Row],[ClienteID]],Clientes!A:A,Clientes!G:G,"No encontrado",0)</f>
        <v>AG07</v>
      </c>
      <c r="E36" s="9">
        <v>45470</v>
      </c>
      <c r="F36" s="10">
        <v>1.4042146218107603E-2</v>
      </c>
      <c r="G36" s="10">
        <f t="shared" si="0"/>
        <v>1.1627144808852297E-3</v>
      </c>
      <c r="H36" s="8"/>
      <c r="I36" s="11">
        <v>41192</v>
      </c>
      <c r="J36" s="9" t="str">
        <f t="shared" si="1"/>
        <v/>
      </c>
      <c r="K36" s="11">
        <f t="shared" ca="1" si="2"/>
        <v>42406.219552593153</v>
      </c>
      <c r="L36" s="11">
        <f ca="1">Tabla2[[#This Row],[SaldoActual]]-Tabla2[[#This Row],[MontoDepositado]]</f>
        <v>1214.2195525931529</v>
      </c>
      <c r="M36" s="7" t="str">
        <f t="shared" ca="1" si="3"/>
        <v>Vigente</v>
      </c>
    </row>
    <row r="37" spans="1:13" x14ac:dyDescent="0.25">
      <c r="A37" t="s">
        <v>1292</v>
      </c>
      <c r="B37" t="s">
        <v>276</v>
      </c>
      <c r="C37" s="8" t="s">
        <v>45</v>
      </c>
      <c r="D37" s="8" t="str">
        <f>_xlfn.XLOOKUP(Tabla2[[#This Row],[ClienteID]],Clientes!A:A,Clientes!G:G,"No encontrado",0)</f>
        <v>AG04</v>
      </c>
      <c r="E37" s="9">
        <v>46216</v>
      </c>
      <c r="F37" s="10">
        <v>7.1059394153573131E-3</v>
      </c>
      <c r="G37" s="10">
        <f t="shared" si="0"/>
        <v>5.9024172391408669E-4</v>
      </c>
      <c r="H37" s="8"/>
      <c r="I37" s="11">
        <v>45062</v>
      </c>
      <c r="J37" s="9" t="str">
        <f t="shared" si="1"/>
        <v/>
      </c>
      <c r="K37" s="11">
        <f t="shared" ca="1" si="2"/>
        <v>45062</v>
      </c>
      <c r="L37" s="11">
        <f ca="1">Tabla2[[#This Row],[SaldoActual]]-Tabla2[[#This Row],[MontoDepositado]]</f>
        <v>0</v>
      </c>
      <c r="M37" s="7" t="str">
        <f t="shared" ca="1" si="3"/>
        <v>Vigente</v>
      </c>
    </row>
    <row r="38" spans="1:13" x14ac:dyDescent="0.25">
      <c r="A38" t="s">
        <v>1293</v>
      </c>
      <c r="B38" t="s">
        <v>726</v>
      </c>
      <c r="C38" s="8" t="s">
        <v>52</v>
      </c>
      <c r="D38" s="8" t="str">
        <f>_xlfn.XLOOKUP(Tabla2[[#This Row],[ClienteID]],Clientes!A:A,Clientes!G:G,"No encontrado",0)</f>
        <v>AG02</v>
      </c>
      <c r="E38" s="9">
        <v>45339</v>
      </c>
      <c r="F38" s="10">
        <v>4.1709355846181212E-2</v>
      </c>
      <c r="G38" s="10">
        <f t="shared" si="0"/>
        <v>3.411052384495239E-3</v>
      </c>
      <c r="H38" s="8">
        <v>6</v>
      </c>
      <c r="I38" s="11">
        <v>44446</v>
      </c>
      <c r="J38" s="9">
        <f t="shared" si="1"/>
        <v>45521</v>
      </c>
      <c r="K38" s="11">
        <f t="shared" ca="1" si="2"/>
        <v>45363.438299744048</v>
      </c>
      <c r="L38" s="11">
        <f ca="1">Tabla2[[#This Row],[SaldoActual]]-Tabla2[[#This Row],[MontoDepositado]]</f>
        <v>917.43829974404798</v>
      </c>
      <c r="M38" s="7" t="str">
        <f t="shared" ca="1" si="3"/>
        <v>Vencido</v>
      </c>
    </row>
    <row r="39" spans="1:13" x14ac:dyDescent="0.25">
      <c r="A39" t="s">
        <v>1294</v>
      </c>
      <c r="B39" t="s">
        <v>654</v>
      </c>
      <c r="C39" s="8" t="s">
        <v>45</v>
      </c>
      <c r="D39" s="8" t="str">
        <f>_xlfn.XLOOKUP(Tabla2[[#This Row],[ClienteID]],Clientes!A:A,Clientes!G:G,"No encontrado",0)</f>
        <v>AG08</v>
      </c>
      <c r="E39" s="9">
        <v>46116</v>
      </c>
      <c r="F39" s="10">
        <v>1.1764794410002066E-2</v>
      </c>
      <c r="G39" s="10">
        <f t="shared" si="0"/>
        <v>9.7515242404000446E-4</v>
      </c>
      <c r="H39" s="8"/>
      <c r="I39" s="11">
        <v>26194</v>
      </c>
      <c r="J39" s="9" t="str">
        <f t="shared" si="1"/>
        <v/>
      </c>
      <c r="K39" s="11">
        <f t="shared" ca="1" si="2"/>
        <v>26296.322118307588</v>
      </c>
      <c r="L39" s="11">
        <f ca="1">Tabla2[[#This Row],[SaldoActual]]-Tabla2[[#This Row],[MontoDepositado]]</f>
        <v>102.32211830758752</v>
      </c>
      <c r="M39" s="7" t="str">
        <f t="shared" ca="1" si="3"/>
        <v>Vigente</v>
      </c>
    </row>
    <row r="40" spans="1:13" x14ac:dyDescent="0.25">
      <c r="A40" t="s">
        <v>1295</v>
      </c>
      <c r="B40" t="s">
        <v>362</v>
      </c>
      <c r="C40" s="8" t="s">
        <v>46</v>
      </c>
      <c r="D40" s="8" t="str">
        <f>_xlfn.XLOOKUP(Tabla2[[#This Row],[ClienteID]],Clientes!A:A,Clientes!G:G,"No encontrado",0)</f>
        <v>AG04</v>
      </c>
      <c r="E40" s="9">
        <v>45927</v>
      </c>
      <c r="F40" s="10">
        <v>3.7942586953468173E-2</v>
      </c>
      <c r="G40" s="10">
        <f t="shared" si="0"/>
        <v>3.1081931123604356E-3</v>
      </c>
      <c r="H40" s="8">
        <v>3</v>
      </c>
      <c r="I40" s="11">
        <v>25839</v>
      </c>
      <c r="J40" s="9">
        <f t="shared" si="1"/>
        <v>46018</v>
      </c>
      <c r="K40" s="11">
        <f t="shared" ca="1" si="2"/>
        <v>26080.687462607537</v>
      </c>
      <c r="L40" s="11">
        <f ca="1">Tabla2[[#This Row],[SaldoActual]]-Tabla2[[#This Row],[MontoDepositado]]</f>
        <v>241.68746260753687</v>
      </c>
      <c r="M40" s="7" t="str">
        <f t="shared" ca="1" si="3"/>
        <v>Vencido</v>
      </c>
    </row>
    <row r="41" spans="1:13" x14ac:dyDescent="0.25">
      <c r="A41" t="s">
        <v>1296</v>
      </c>
      <c r="B41" t="s">
        <v>392</v>
      </c>
      <c r="C41" s="8" t="s">
        <v>45</v>
      </c>
      <c r="D41" s="8" t="str">
        <f>_xlfn.XLOOKUP(Tabla2[[#This Row],[ClienteID]],Clientes!A:A,Clientes!G:G,"No encontrado",0)</f>
        <v>AG03</v>
      </c>
      <c r="E41" s="9">
        <v>45209</v>
      </c>
      <c r="F41" s="10">
        <v>8.6545264969632215E-3</v>
      </c>
      <c r="G41" s="10">
        <f t="shared" si="0"/>
        <v>7.1836546485792852E-4</v>
      </c>
      <c r="H41" s="8"/>
      <c r="I41" s="11">
        <v>15027</v>
      </c>
      <c r="J41" s="9" t="str">
        <f t="shared" si="1"/>
        <v/>
      </c>
      <c r="K41" s="11">
        <f t="shared" ca="1" si="2"/>
        <v>15398.409736377293</v>
      </c>
      <c r="L41" s="11">
        <f ca="1">Tabla2[[#This Row],[SaldoActual]]-Tabla2[[#This Row],[MontoDepositado]]</f>
        <v>371.40973637729257</v>
      </c>
      <c r="M41" s="7" t="str">
        <f t="shared" ca="1" si="3"/>
        <v>Vigente</v>
      </c>
    </row>
    <row r="42" spans="1:13" x14ac:dyDescent="0.25">
      <c r="A42" t="s">
        <v>1297</v>
      </c>
      <c r="B42" t="s">
        <v>141</v>
      </c>
      <c r="C42" s="8" t="s">
        <v>45</v>
      </c>
      <c r="D42" s="8" t="str">
        <f>_xlfn.XLOOKUP(Tabla2[[#This Row],[ClienteID]],Clientes!A:A,Clientes!G:G,"No encontrado",0)</f>
        <v>AG08</v>
      </c>
      <c r="E42" s="9">
        <v>46073</v>
      </c>
      <c r="F42" s="10">
        <v>1.1873265022685219E-2</v>
      </c>
      <c r="G42" s="10">
        <f t="shared" si="0"/>
        <v>9.8409480651917569E-4</v>
      </c>
      <c r="H42" s="8"/>
      <c r="I42" s="11">
        <v>30025</v>
      </c>
      <c r="J42" s="9" t="str">
        <f t="shared" si="1"/>
        <v/>
      </c>
      <c r="K42" s="11">
        <f t="shared" ca="1" si="2"/>
        <v>30173.028294006679</v>
      </c>
      <c r="L42" s="11">
        <f ca="1">Tabla2[[#This Row],[SaldoActual]]-Tabla2[[#This Row],[MontoDepositado]]</f>
        <v>148.02829400667906</v>
      </c>
      <c r="M42" s="7" t="str">
        <f t="shared" ca="1" si="3"/>
        <v>Vigente</v>
      </c>
    </row>
    <row r="43" spans="1:13" x14ac:dyDescent="0.25">
      <c r="A43" t="s">
        <v>1298</v>
      </c>
      <c r="B43" t="s">
        <v>335</v>
      </c>
      <c r="C43" s="8" t="s">
        <v>50</v>
      </c>
      <c r="D43" s="8" t="str">
        <f>_xlfn.XLOOKUP(Tabla2[[#This Row],[ClienteID]],Clientes!A:A,Clientes!G:G,"No encontrado",0)</f>
        <v>AG02</v>
      </c>
      <c r="E43" s="9">
        <v>45776</v>
      </c>
      <c r="F43" s="10">
        <v>6.3614475088870442E-2</v>
      </c>
      <c r="G43" s="10">
        <f t="shared" si="0"/>
        <v>5.1526452697596703E-3</v>
      </c>
      <c r="H43" s="8">
        <v>12</v>
      </c>
      <c r="I43" s="11">
        <v>41982</v>
      </c>
      <c r="J43" s="9">
        <f t="shared" si="1"/>
        <v>46141</v>
      </c>
      <c r="K43" s="11">
        <f t="shared" ca="1" si="2"/>
        <v>44652.662893180925</v>
      </c>
      <c r="L43" s="11">
        <f ca="1">Tabla2[[#This Row],[SaldoActual]]-Tabla2[[#This Row],[MontoDepositado]]</f>
        <v>2670.6628931809246</v>
      </c>
      <c r="M43" s="7" t="str">
        <f t="shared" ca="1" si="3"/>
        <v>Vencido</v>
      </c>
    </row>
    <row r="44" spans="1:13" x14ac:dyDescent="0.25">
      <c r="A44" t="s">
        <v>1299</v>
      </c>
      <c r="B44" t="s">
        <v>329</v>
      </c>
      <c r="C44" s="8" t="s">
        <v>50</v>
      </c>
      <c r="D44" s="8" t="str">
        <f>_xlfn.XLOOKUP(Tabla2[[#This Row],[ClienteID]],Clientes!A:A,Clientes!G:G,"No encontrado",0)</f>
        <v>AG06</v>
      </c>
      <c r="E44" s="9">
        <v>45557</v>
      </c>
      <c r="F44" s="10">
        <v>5.8017725701077459E-2</v>
      </c>
      <c r="G44" s="10">
        <f t="shared" si="0"/>
        <v>4.7108184529194297E-3</v>
      </c>
      <c r="H44" s="8">
        <v>12</v>
      </c>
      <c r="I44" s="11">
        <v>30381</v>
      </c>
      <c r="J44" s="9">
        <f t="shared" si="1"/>
        <v>45922</v>
      </c>
      <c r="K44" s="11">
        <f t="shared" ca="1" si="2"/>
        <v>32143.636524524401</v>
      </c>
      <c r="L44" s="11">
        <f ca="1">Tabla2[[#This Row],[SaldoActual]]-Tabla2[[#This Row],[MontoDepositado]]</f>
        <v>1762.6365245244015</v>
      </c>
      <c r="M44" s="7" t="str">
        <f t="shared" ca="1" si="3"/>
        <v>Vencido</v>
      </c>
    </row>
    <row r="45" spans="1:13" x14ac:dyDescent="0.25">
      <c r="A45" t="s">
        <v>1300</v>
      </c>
      <c r="B45" t="s">
        <v>180</v>
      </c>
      <c r="C45" s="8" t="s">
        <v>50</v>
      </c>
      <c r="D45" s="8" t="str">
        <f>_xlfn.XLOOKUP(Tabla2[[#This Row],[ClienteID]],Clientes!A:A,Clientes!G:G,"No encontrado",0)</f>
        <v>AG06</v>
      </c>
      <c r="E45" s="9">
        <v>45611</v>
      </c>
      <c r="F45" s="10">
        <v>5.5677259313053187E-2</v>
      </c>
      <c r="G45" s="10">
        <f t="shared" si="0"/>
        <v>4.525418327401276E-3</v>
      </c>
      <c r="H45" s="8">
        <v>12</v>
      </c>
      <c r="I45" s="11">
        <v>45397</v>
      </c>
      <c r="J45" s="9">
        <f t="shared" si="1"/>
        <v>45976</v>
      </c>
      <c r="K45" s="11">
        <f t="shared" ca="1" si="2"/>
        <v>47924.580541034644</v>
      </c>
      <c r="L45" s="11">
        <f ca="1">Tabla2[[#This Row],[SaldoActual]]-Tabla2[[#This Row],[MontoDepositado]]</f>
        <v>2527.5805410346438</v>
      </c>
      <c r="M45" s="7" t="str">
        <f t="shared" ca="1" si="3"/>
        <v>Vencido</v>
      </c>
    </row>
    <row r="46" spans="1:13" x14ac:dyDescent="0.25">
      <c r="A46" t="s">
        <v>1301</v>
      </c>
      <c r="B46" t="s">
        <v>678</v>
      </c>
      <c r="C46" s="8" t="s">
        <v>45</v>
      </c>
      <c r="D46" s="8" t="str">
        <f>_xlfn.XLOOKUP(Tabla2[[#This Row],[ClienteID]],Clientes!A:A,Clientes!G:G,"No encontrado",0)</f>
        <v>AG05</v>
      </c>
      <c r="E46" s="9">
        <v>45887</v>
      </c>
      <c r="F46" s="10">
        <v>9.5616504849569042E-3</v>
      </c>
      <c r="G46" s="10">
        <f t="shared" si="0"/>
        <v>7.9333345790000287E-4</v>
      </c>
      <c r="H46" s="8"/>
      <c r="I46" s="11">
        <v>2058</v>
      </c>
      <c r="J46" s="9" t="str">
        <f t="shared" si="1"/>
        <v/>
      </c>
      <c r="K46" s="11">
        <f t="shared" ca="1" si="2"/>
        <v>2076.0308919318404</v>
      </c>
      <c r="L46" s="11">
        <f ca="1">Tabla2[[#This Row],[SaldoActual]]-Tabla2[[#This Row],[MontoDepositado]]</f>
        <v>18.030891931840415</v>
      </c>
      <c r="M46" s="7" t="str">
        <f t="shared" ca="1" si="3"/>
        <v>Vigente</v>
      </c>
    </row>
    <row r="47" spans="1:13" x14ac:dyDescent="0.25">
      <c r="A47" t="s">
        <v>1302</v>
      </c>
      <c r="B47" t="s">
        <v>796</v>
      </c>
      <c r="C47" s="8" t="s">
        <v>50</v>
      </c>
      <c r="D47" s="8" t="str">
        <f>_xlfn.XLOOKUP(Tabla2[[#This Row],[ClienteID]],Clientes!A:A,Clientes!G:G,"No encontrado",0)</f>
        <v>AG02</v>
      </c>
      <c r="E47" s="9">
        <v>45865</v>
      </c>
      <c r="F47" s="10">
        <v>5.5916264276446602E-2</v>
      </c>
      <c r="G47" s="10">
        <f t="shared" si="0"/>
        <v>4.544368378136987E-3</v>
      </c>
      <c r="H47" s="8">
        <v>12</v>
      </c>
      <c r="I47" s="11">
        <v>20081</v>
      </c>
      <c r="J47" s="9">
        <f t="shared" si="1"/>
        <v>46230</v>
      </c>
      <c r="K47" s="11">
        <f t="shared" ca="1" si="2"/>
        <v>21203.85450293533</v>
      </c>
      <c r="L47" s="11">
        <f ca="1">Tabla2[[#This Row],[SaldoActual]]-Tabla2[[#This Row],[MontoDepositado]]</f>
        <v>1122.8545029353299</v>
      </c>
      <c r="M47" s="7" t="str">
        <f t="shared" ca="1" si="3"/>
        <v>Vencido</v>
      </c>
    </row>
    <row r="48" spans="1:13" x14ac:dyDescent="0.25">
      <c r="A48" t="s">
        <v>1303</v>
      </c>
      <c r="B48" t="s">
        <v>260</v>
      </c>
      <c r="C48" s="8" t="s">
        <v>45</v>
      </c>
      <c r="D48" s="8" t="str">
        <f>_xlfn.XLOOKUP(Tabla2[[#This Row],[ClienteID]],Clientes!A:A,Clientes!G:G,"No encontrado",0)</f>
        <v>AG06</v>
      </c>
      <c r="E48" s="9">
        <v>45721</v>
      </c>
      <c r="F48" s="10">
        <v>5.7583071096844593E-3</v>
      </c>
      <c r="G48" s="10">
        <f t="shared" si="0"/>
        <v>4.7859711027986584E-4</v>
      </c>
      <c r="H48" s="8"/>
      <c r="I48" s="11">
        <v>29476</v>
      </c>
      <c r="J48" s="9" t="str">
        <f t="shared" si="1"/>
        <v/>
      </c>
      <c r="K48" s="11">
        <f t="shared" ca="1" si="2"/>
        <v>29716.741605963143</v>
      </c>
      <c r="L48" s="11">
        <f ca="1">Tabla2[[#This Row],[SaldoActual]]-Tabla2[[#This Row],[MontoDepositado]]</f>
        <v>240.74160596314323</v>
      </c>
      <c r="M48" s="7" t="str">
        <f t="shared" ca="1" si="3"/>
        <v>Vigente</v>
      </c>
    </row>
    <row r="49" spans="1:13" x14ac:dyDescent="0.25">
      <c r="A49" t="s">
        <v>1304</v>
      </c>
      <c r="B49" t="s">
        <v>444</v>
      </c>
      <c r="C49" s="8" t="s">
        <v>52</v>
      </c>
      <c r="D49" s="8" t="str">
        <f>_xlfn.XLOOKUP(Tabla2[[#This Row],[ClienteID]],Clientes!A:A,Clientes!G:G,"No encontrado",0)</f>
        <v>AG07</v>
      </c>
      <c r="E49" s="9">
        <v>46196</v>
      </c>
      <c r="F49" s="10">
        <v>3.3801673176931946E-2</v>
      </c>
      <c r="G49" s="10">
        <f t="shared" si="0"/>
        <v>2.7740866981504908E-3</v>
      </c>
      <c r="H49" s="8">
        <v>6</v>
      </c>
      <c r="I49" s="11">
        <v>35610</v>
      </c>
      <c r="J49" s="9">
        <f t="shared" si="1"/>
        <v>46379</v>
      </c>
      <c r="K49" s="11">
        <f t="shared" ca="1" si="2"/>
        <v>35708.785227321139</v>
      </c>
      <c r="L49" s="11">
        <f ca="1">Tabla2[[#This Row],[SaldoActual]]-Tabla2[[#This Row],[MontoDepositado]]</f>
        <v>98.785227321139246</v>
      </c>
      <c r="M49" s="7" t="str">
        <f t="shared" ca="1" si="3"/>
        <v>Vigente</v>
      </c>
    </row>
    <row r="50" spans="1:13" x14ac:dyDescent="0.25">
      <c r="A50" t="s">
        <v>1305</v>
      </c>
      <c r="B50" t="s">
        <v>419</v>
      </c>
      <c r="C50" s="8" t="s">
        <v>50</v>
      </c>
      <c r="D50" s="8" t="str">
        <f>_xlfn.XLOOKUP(Tabla2[[#This Row],[ClienteID]],Clientes!A:A,Clientes!G:G,"No encontrado",0)</f>
        <v>AG03</v>
      </c>
      <c r="E50" s="9">
        <v>45642</v>
      </c>
      <c r="F50" s="10">
        <v>5.6601512483028166E-2</v>
      </c>
      <c r="G50" s="10">
        <f t="shared" si="0"/>
        <v>4.5986780480335998E-3</v>
      </c>
      <c r="H50" s="8">
        <v>12</v>
      </c>
      <c r="I50" s="11">
        <v>47760</v>
      </c>
      <c r="J50" s="9">
        <f t="shared" si="1"/>
        <v>46007</v>
      </c>
      <c r="K50" s="11">
        <f t="shared" ca="1" si="2"/>
        <v>50463.288236189379</v>
      </c>
      <c r="L50" s="11">
        <f ca="1">Tabla2[[#This Row],[SaldoActual]]-Tabla2[[#This Row],[MontoDepositado]]</f>
        <v>2703.2882361893789</v>
      </c>
      <c r="M50" s="7" t="str">
        <f t="shared" ca="1" si="3"/>
        <v>Vencido</v>
      </c>
    </row>
    <row r="51" spans="1:13" x14ac:dyDescent="0.25">
      <c r="A51" t="s">
        <v>1306</v>
      </c>
      <c r="B51" t="s">
        <v>392</v>
      </c>
      <c r="C51" s="8" t="s">
        <v>52</v>
      </c>
      <c r="D51" s="8" t="str">
        <f>_xlfn.XLOOKUP(Tabla2[[#This Row],[ClienteID]],Clientes!A:A,Clientes!G:G,"No encontrado",0)</f>
        <v>AG03</v>
      </c>
      <c r="E51" s="9">
        <v>45763</v>
      </c>
      <c r="F51" s="10">
        <v>3.4502814563169525E-2</v>
      </c>
      <c r="G51" s="10">
        <f t="shared" si="0"/>
        <v>2.8307439187955641E-3</v>
      </c>
      <c r="H51" s="8">
        <v>6</v>
      </c>
      <c r="I51" s="11">
        <v>14388</v>
      </c>
      <c r="J51" s="9">
        <f t="shared" si="1"/>
        <v>45946</v>
      </c>
      <c r="K51" s="11">
        <f t="shared" ca="1" si="2"/>
        <v>14634.108391819127</v>
      </c>
      <c r="L51" s="11">
        <f ca="1">Tabla2[[#This Row],[SaldoActual]]-Tabla2[[#This Row],[MontoDepositado]]</f>
        <v>246.10839181912706</v>
      </c>
      <c r="M51" s="7" t="str">
        <f t="shared" ca="1" si="3"/>
        <v>Vencido</v>
      </c>
    </row>
    <row r="52" spans="1:13" x14ac:dyDescent="0.25">
      <c r="A52" t="s">
        <v>1307</v>
      </c>
      <c r="B52" t="s">
        <v>266</v>
      </c>
      <c r="C52" s="8" t="s">
        <v>46</v>
      </c>
      <c r="D52" s="8" t="str">
        <f>_xlfn.XLOOKUP(Tabla2[[#This Row],[ClienteID]],Clientes!A:A,Clientes!G:G,"No encontrado",0)</f>
        <v>AG06</v>
      </c>
      <c r="E52" s="9">
        <v>46081</v>
      </c>
      <c r="F52" s="10">
        <v>3.4027152725419729E-2</v>
      </c>
      <c r="G52" s="10">
        <f t="shared" si="0"/>
        <v>2.7923108938989749E-3</v>
      </c>
      <c r="H52" s="8">
        <v>3</v>
      </c>
      <c r="I52" s="11">
        <v>19894</v>
      </c>
      <c r="J52" s="9">
        <f t="shared" si="1"/>
        <v>46170</v>
      </c>
      <c r="K52" s="11">
        <f t="shared" ca="1" si="2"/>
        <v>20061.116472456502</v>
      </c>
      <c r="L52" s="11">
        <f ca="1">Tabla2[[#This Row],[SaldoActual]]-Tabla2[[#This Row],[MontoDepositado]]</f>
        <v>167.11647245650238</v>
      </c>
      <c r="M52" s="7" t="str">
        <f t="shared" ca="1" si="3"/>
        <v>Vencido</v>
      </c>
    </row>
    <row r="53" spans="1:13" x14ac:dyDescent="0.25">
      <c r="A53" t="s">
        <v>1308</v>
      </c>
      <c r="B53" t="s">
        <v>462</v>
      </c>
      <c r="C53" s="8" t="s">
        <v>46</v>
      </c>
      <c r="D53" s="8" t="str">
        <f>_xlfn.XLOOKUP(Tabla2[[#This Row],[ClienteID]],Clientes!A:A,Clientes!G:G,"No encontrado",0)</f>
        <v>AG03</v>
      </c>
      <c r="E53" s="9">
        <v>46139</v>
      </c>
      <c r="F53" s="10">
        <v>3.4008804653547949E-2</v>
      </c>
      <c r="G53" s="10">
        <f t="shared" si="0"/>
        <v>2.7908280625097426E-3</v>
      </c>
      <c r="H53" s="8">
        <v>3</v>
      </c>
      <c r="I53" s="11">
        <v>24100</v>
      </c>
      <c r="J53" s="9">
        <f t="shared" si="1"/>
        <v>46230</v>
      </c>
      <c r="K53" s="11">
        <f t="shared" ca="1" si="2"/>
        <v>24302.340517328863</v>
      </c>
      <c r="L53" s="11">
        <f ca="1">Tabla2[[#This Row],[SaldoActual]]-Tabla2[[#This Row],[MontoDepositado]]</f>
        <v>202.34051732886292</v>
      </c>
      <c r="M53" s="7" t="str">
        <f t="shared" ca="1" si="3"/>
        <v>Vencido</v>
      </c>
    </row>
    <row r="54" spans="1:13" x14ac:dyDescent="0.25">
      <c r="A54" t="s">
        <v>1309</v>
      </c>
      <c r="B54" t="s">
        <v>257</v>
      </c>
      <c r="C54" s="8" t="s">
        <v>48</v>
      </c>
      <c r="D54" s="8" t="str">
        <f>_xlfn.XLOOKUP(Tabla2[[#This Row],[ClienteID]],Clientes!A:A,Clientes!G:G,"No encontrado",0)</f>
        <v>AG07</v>
      </c>
      <c r="E54" s="9">
        <v>46171</v>
      </c>
      <c r="F54" s="10">
        <v>4.0879334700123234E-2</v>
      </c>
      <c r="G54" s="10">
        <f t="shared" si="0"/>
        <v>3.3444025799462818E-3</v>
      </c>
      <c r="H54" s="8">
        <v>6</v>
      </c>
      <c r="I54" s="11">
        <v>9744</v>
      </c>
      <c r="J54" s="9">
        <f t="shared" si="1"/>
        <v>46355</v>
      </c>
      <c r="K54" s="11">
        <f t="shared" ca="1" si="2"/>
        <v>9809.2847043968359</v>
      </c>
      <c r="L54" s="11">
        <f ca="1">Tabla2[[#This Row],[SaldoActual]]-Tabla2[[#This Row],[MontoDepositado]]</f>
        <v>65.284704396835878</v>
      </c>
      <c r="M54" s="7" t="str">
        <f t="shared" ca="1" si="3"/>
        <v>Vigente</v>
      </c>
    </row>
    <row r="55" spans="1:13" x14ac:dyDescent="0.25">
      <c r="A55" t="s">
        <v>1310</v>
      </c>
      <c r="B55" t="s">
        <v>419</v>
      </c>
      <c r="C55" s="8" t="s">
        <v>45</v>
      </c>
      <c r="D55" s="8" t="str">
        <f>_xlfn.XLOOKUP(Tabla2[[#This Row],[ClienteID]],Clientes!A:A,Clientes!G:G,"No encontrado",0)</f>
        <v>AG03</v>
      </c>
      <c r="E55" s="9">
        <v>46219</v>
      </c>
      <c r="F55" s="10">
        <v>1.1530263588856067E-2</v>
      </c>
      <c r="G55" s="10">
        <f t="shared" si="0"/>
        <v>9.558145575816468E-4</v>
      </c>
      <c r="H55" s="8"/>
      <c r="I55" s="11">
        <v>37335</v>
      </c>
      <c r="J55" s="9" t="str">
        <f t="shared" si="1"/>
        <v/>
      </c>
      <c r="K55" s="11">
        <f t="shared" ca="1" si="2"/>
        <v>37335</v>
      </c>
      <c r="L55" s="11">
        <f ca="1">Tabla2[[#This Row],[SaldoActual]]-Tabla2[[#This Row],[MontoDepositado]]</f>
        <v>0</v>
      </c>
      <c r="M55" s="7" t="str">
        <f t="shared" ca="1" si="3"/>
        <v>Vigente</v>
      </c>
    </row>
    <row r="56" spans="1:13" x14ac:dyDescent="0.25">
      <c r="A56" t="s">
        <v>1311</v>
      </c>
      <c r="B56" t="s">
        <v>759</v>
      </c>
      <c r="C56" s="8" t="s">
        <v>45</v>
      </c>
      <c r="D56" s="8" t="str">
        <f>_xlfn.XLOOKUP(Tabla2[[#This Row],[ClienteID]],Clientes!A:A,Clientes!G:G,"No encontrado",0)</f>
        <v>AG02</v>
      </c>
      <c r="E56" s="9">
        <v>46230</v>
      </c>
      <c r="F56" s="10">
        <v>1.3117963917353082E-2</v>
      </c>
      <c r="G56" s="10">
        <f t="shared" si="0"/>
        <v>1.0866456848381834E-3</v>
      </c>
      <c r="H56" s="8"/>
      <c r="I56" s="11">
        <v>42512</v>
      </c>
      <c r="J56" s="9" t="str">
        <f t="shared" si="1"/>
        <v/>
      </c>
      <c r="K56" s="11">
        <f t="shared" ca="1" si="2"/>
        <v>42512</v>
      </c>
      <c r="L56" s="11">
        <f ca="1">Tabla2[[#This Row],[SaldoActual]]-Tabla2[[#This Row],[MontoDepositado]]</f>
        <v>0</v>
      </c>
      <c r="M56" s="7" t="str">
        <f t="shared" ca="1" si="3"/>
        <v>Vigente</v>
      </c>
    </row>
    <row r="57" spans="1:13" x14ac:dyDescent="0.25">
      <c r="A57" t="s">
        <v>1312</v>
      </c>
      <c r="B57" t="s">
        <v>793</v>
      </c>
      <c r="C57" s="8" t="s">
        <v>52</v>
      </c>
      <c r="D57" s="8" t="str">
        <f>_xlfn.XLOOKUP(Tabla2[[#This Row],[ClienteID]],Clientes!A:A,Clientes!G:G,"No encontrado",0)</f>
        <v>AG03</v>
      </c>
      <c r="E57" s="9">
        <v>45571</v>
      </c>
      <c r="F57" s="10">
        <v>3.573130361265929E-2</v>
      </c>
      <c r="G57" s="10">
        <f t="shared" si="0"/>
        <v>2.9299297745204456E-3</v>
      </c>
      <c r="H57" s="8">
        <v>6</v>
      </c>
      <c r="I57" s="11">
        <v>12242</v>
      </c>
      <c r="J57" s="9">
        <f t="shared" si="1"/>
        <v>45753</v>
      </c>
      <c r="K57" s="11">
        <f t="shared" ca="1" si="2"/>
        <v>12458.791743169568</v>
      </c>
      <c r="L57" s="11">
        <f ca="1">Tabla2[[#This Row],[SaldoActual]]-Tabla2[[#This Row],[MontoDepositado]]</f>
        <v>216.79174316956778</v>
      </c>
      <c r="M57" s="7" t="str">
        <f t="shared" ca="1" si="3"/>
        <v>Vencido</v>
      </c>
    </row>
    <row r="58" spans="1:13" x14ac:dyDescent="0.25">
      <c r="A58" t="s">
        <v>1313</v>
      </c>
      <c r="B58" t="s">
        <v>738</v>
      </c>
      <c r="C58" s="8" t="s">
        <v>48</v>
      </c>
      <c r="D58" s="8" t="str">
        <f>_xlfn.XLOOKUP(Tabla2[[#This Row],[ClienteID]],Clientes!A:A,Clientes!G:G,"No encontrado",0)</f>
        <v>AG06</v>
      </c>
      <c r="E58" s="9">
        <v>46225</v>
      </c>
      <c r="F58" s="10">
        <v>4.3955370840595177E-2</v>
      </c>
      <c r="G58" s="10">
        <f t="shared" si="0"/>
        <v>3.5911611821934919E-3</v>
      </c>
      <c r="H58" s="8">
        <v>6</v>
      </c>
      <c r="I58" s="11">
        <v>5297</v>
      </c>
      <c r="J58" s="9">
        <f t="shared" si="1"/>
        <v>46409</v>
      </c>
      <c r="K58" s="11">
        <f t="shared" ca="1" si="2"/>
        <v>5297</v>
      </c>
      <c r="L58" s="11">
        <f ca="1">Tabla2[[#This Row],[SaldoActual]]-Tabla2[[#This Row],[MontoDepositado]]</f>
        <v>0</v>
      </c>
      <c r="M58" s="7" t="str">
        <f t="shared" ca="1" si="3"/>
        <v>Vigente</v>
      </c>
    </row>
    <row r="59" spans="1:13" x14ac:dyDescent="0.25">
      <c r="A59" t="s">
        <v>1314</v>
      </c>
      <c r="B59" t="s">
        <v>636</v>
      </c>
      <c r="C59" s="8" t="s">
        <v>52</v>
      </c>
      <c r="D59" s="8" t="str">
        <f>_xlfn.XLOOKUP(Tabla2[[#This Row],[ClienteID]],Clientes!A:A,Clientes!G:G,"No encontrado",0)</f>
        <v>AG07</v>
      </c>
      <c r="E59" s="9">
        <v>46171</v>
      </c>
      <c r="F59" s="10">
        <v>3.8872156806324124E-2</v>
      </c>
      <c r="G59" s="10">
        <f t="shared" si="0"/>
        <v>3.1830267794519251E-3</v>
      </c>
      <c r="H59" s="8">
        <v>6</v>
      </c>
      <c r="I59" s="11">
        <v>9239</v>
      </c>
      <c r="J59" s="9">
        <f t="shared" si="1"/>
        <v>46355</v>
      </c>
      <c r="K59" s="11">
        <f t="shared" ca="1" si="2"/>
        <v>9297.9095752326357</v>
      </c>
      <c r="L59" s="11">
        <f ca="1">Tabla2[[#This Row],[SaldoActual]]-Tabla2[[#This Row],[MontoDepositado]]</f>
        <v>58.909575232635689</v>
      </c>
      <c r="M59" s="7" t="str">
        <f t="shared" ca="1" si="3"/>
        <v>Vigente</v>
      </c>
    </row>
    <row r="60" spans="1:13" x14ac:dyDescent="0.25">
      <c r="A60" t="s">
        <v>1315</v>
      </c>
      <c r="B60" t="s">
        <v>525</v>
      </c>
      <c r="C60" s="8" t="s">
        <v>45</v>
      </c>
      <c r="D60" s="8" t="str">
        <f>_xlfn.XLOOKUP(Tabla2[[#This Row],[ClienteID]],Clientes!A:A,Clientes!G:G,"No encontrado",0)</f>
        <v>AG06</v>
      </c>
      <c r="E60" s="9">
        <v>46003</v>
      </c>
      <c r="F60" s="10">
        <v>5.1052753174226093E-3</v>
      </c>
      <c r="G60" s="10">
        <f t="shared" si="0"/>
        <v>4.2444735101287989E-4</v>
      </c>
      <c r="H60" s="8"/>
      <c r="I60" s="11">
        <v>31158</v>
      </c>
      <c r="J60" s="9" t="str">
        <f t="shared" si="1"/>
        <v/>
      </c>
      <c r="K60" s="11">
        <f t="shared" ca="1" si="2"/>
        <v>31263.956750025049</v>
      </c>
      <c r="L60" s="11">
        <f ca="1">Tabla2[[#This Row],[SaldoActual]]-Tabla2[[#This Row],[MontoDepositado]]</f>
        <v>105.95675002504868</v>
      </c>
      <c r="M60" s="7" t="str">
        <f t="shared" ca="1" si="3"/>
        <v>Vigente</v>
      </c>
    </row>
    <row r="61" spans="1:13" x14ac:dyDescent="0.25">
      <c r="A61" t="s">
        <v>1316</v>
      </c>
      <c r="B61" t="s">
        <v>201</v>
      </c>
      <c r="C61" s="8" t="s">
        <v>50</v>
      </c>
      <c r="D61" s="8" t="str">
        <f>_xlfn.XLOOKUP(Tabla2[[#This Row],[ClienteID]],Clientes!A:A,Clientes!G:G,"No encontrado",0)</f>
        <v>AG05</v>
      </c>
      <c r="E61" s="9">
        <v>46116</v>
      </c>
      <c r="F61" s="10">
        <v>5.9901074580551744E-2</v>
      </c>
      <c r="G61" s="10">
        <f t="shared" si="0"/>
        <v>4.8597352197257138E-3</v>
      </c>
      <c r="H61" s="8">
        <v>12</v>
      </c>
      <c r="I61" s="11">
        <v>39718</v>
      </c>
      <c r="J61" s="9">
        <f t="shared" si="1"/>
        <v>46481</v>
      </c>
      <c r="K61" s="11">
        <f t="shared" ca="1" si="2"/>
        <v>40495.722236446083</v>
      </c>
      <c r="L61" s="11">
        <f ca="1">Tabla2[[#This Row],[SaldoActual]]-Tabla2[[#This Row],[MontoDepositado]]</f>
        <v>777.72223644608312</v>
      </c>
      <c r="M61" s="7" t="str">
        <f t="shared" ca="1" si="3"/>
        <v>Vigente</v>
      </c>
    </row>
    <row r="62" spans="1:13" x14ac:dyDescent="0.25">
      <c r="A62" t="s">
        <v>1317</v>
      </c>
      <c r="B62" t="s">
        <v>495</v>
      </c>
      <c r="C62" s="8" t="s">
        <v>45</v>
      </c>
      <c r="D62" s="8" t="str">
        <f>_xlfn.XLOOKUP(Tabla2[[#This Row],[ClienteID]],Clientes!A:A,Clientes!G:G,"No encontrado",0)</f>
        <v>AG05</v>
      </c>
      <c r="E62" s="9">
        <v>46119</v>
      </c>
      <c r="F62" s="10">
        <v>8.5910133739948123E-3</v>
      </c>
      <c r="G62" s="10">
        <f t="shared" si="0"/>
        <v>7.1311419684549904E-4</v>
      </c>
      <c r="H62" s="8"/>
      <c r="I62" s="11">
        <v>43777</v>
      </c>
      <c r="J62" s="9" t="str">
        <f t="shared" si="1"/>
        <v/>
      </c>
      <c r="K62" s="11">
        <f t="shared" ca="1" si="2"/>
        <v>43902.005636288748</v>
      </c>
      <c r="L62" s="11">
        <f ca="1">Tabla2[[#This Row],[SaldoActual]]-Tabla2[[#This Row],[MontoDepositado]]</f>
        <v>125.00563628874806</v>
      </c>
      <c r="M62" s="7" t="str">
        <f t="shared" ca="1" si="3"/>
        <v>Vigente</v>
      </c>
    </row>
    <row r="63" spans="1:13" x14ac:dyDescent="0.25">
      <c r="A63" t="s">
        <v>1318</v>
      </c>
      <c r="B63" t="s">
        <v>456</v>
      </c>
      <c r="C63" s="8" t="s">
        <v>52</v>
      </c>
      <c r="D63" s="8" t="str">
        <f>_xlfn.XLOOKUP(Tabla2[[#This Row],[ClienteID]],Clientes!A:A,Clientes!G:G,"No encontrado",0)</f>
        <v>AG01</v>
      </c>
      <c r="E63" s="9">
        <v>45654</v>
      </c>
      <c r="F63" s="10">
        <v>4.2888584096260389E-2</v>
      </c>
      <c r="G63" s="10">
        <f t="shared" si="0"/>
        <v>3.505659482244905E-3</v>
      </c>
      <c r="H63" s="8">
        <v>6</v>
      </c>
      <c r="I63" s="11">
        <v>37144</v>
      </c>
      <c r="J63" s="9">
        <f t="shared" si="1"/>
        <v>45836</v>
      </c>
      <c r="K63" s="11">
        <f t="shared" ca="1" si="2"/>
        <v>37932.164685364194</v>
      </c>
      <c r="L63" s="11">
        <f ca="1">Tabla2[[#This Row],[SaldoActual]]-Tabla2[[#This Row],[MontoDepositado]]</f>
        <v>788.16468536419416</v>
      </c>
      <c r="M63" s="7" t="str">
        <f t="shared" ca="1" si="3"/>
        <v>Vencido</v>
      </c>
    </row>
    <row r="64" spans="1:13" x14ac:dyDescent="0.25">
      <c r="A64" t="s">
        <v>1319</v>
      </c>
      <c r="B64" t="s">
        <v>708</v>
      </c>
      <c r="C64" s="8" t="s">
        <v>50</v>
      </c>
      <c r="D64" s="8" t="str">
        <f>_xlfn.XLOOKUP(Tabla2[[#This Row],[ClienteID]],Clientes!A:A,Clientes!G:G,"No encontrado",0)</f>
        <v>AG05</v>
      </c>
      <c r="E64" s="9">
        <v>46153</v>
      </c>
      <c r="F64" s="10">
        <v>5.8431676640361641E-2</v>
      </c>
      <c r="G64" s="10">
        <f t="shared" si="0"/>
        <v>4.7435704581313409E-3</v>
      </c>
      <c r="H64" s="8">
        <v>12</v>
      </c>
      <c r="I64" s="11">
        <v>15942</v>
      </c>
      <c r="J64" s="9">
        <f t="shared" si="1"/>
        <v>46518</v>
      </c>
      <c r="K64" s="11">
        <f t="shared" ca="1" si="2"/>
        <v>16169.943857195074</v>
      </c>
      <c r="L64" s="11">
        <f ca="1">Tabla2[[#This Row],[SaldoActual]]-Tabla2[[#This Row],[MontoDepositado]]</f>
        <v>227.94385719507409</v>
      </c>
      <c r="M64" s="7" t="str">
        <f t="shared" ca="1" si="3"/>
        <v>Vigente</v>
      </c>
    </row>
    <row r="65" spans="1:13" x14ac:dyDescent="0.25">
      <c r="A65" t="s">
        <v>1320</v>
      </c>
      <c r="B65" t="s">
        <v>807</v>
      </c>
      <c r="C65" s="8" t="s">
        <v>46</v>
      </c>
      <c r="D65" s="8" t="str">
        <f>_xlfn.XLOOKUP(Tabla2[[#This Row],[ClienteID]],Clientes!A:A,Clientes!G:G,"No encontrado",0)</f>
        <v>AG08</v>
      </c>
      <c r="E65" s="9">
        <v>45679</v>
      </c>
      <c r="F65" s="10">
        <v>3.3906691028777101E-2</v>
      </c>
      <c r="G65" s="10">
        <f t="shared" si="0"/>
        <v>2.7825751313763636E-3</v>
      </c>
      <c r="H65" s="8">
        <v>3</v>
      </c>
      <c r="I65" s="11">
        <v>28956</v>
      </c>
      <c r="J65" s="9">
        <f t="shared" si="1"/>
        <v>45769</v>
      </c>
      <c r="K65" s="11">
        <f t="shared" ca="1" si="2"/>
        <v>29198.389955340943</v>
      </c>
      <c r="L65" s="11">
        <f ca="1">Tabla2[[#This Row],[SaldoActual]]-Tabla2[[#This Row],[MontoDepositado]]</f>
        <v>242.38995534094283</v>
      </c>
      <c r="M65" s="7" t="str">
        <f t="shared" ca="1" si="3"/>
        <v>Vencido</v>
      </c>
    </row>
    <row r="66" spans="1:13" x14ac:dyDescent="0.25">
      <c r="A66" t="s">
        <v>1321</v>
      </c>
      <c r="B66" t="s">
        <v>489</v>
      </c>
      <c r="C66" s="8" t="s">
        <v>50</v>
      </c>
      <c r="D66" s="8" t="str">
        <f>_xlfn.XLOOKUP(Tabla2[[#This Row],[ClienteID]],Clientes!A:A,Clientes!G:G,"No encontrado",0)</f>
        <v>AG04</v>
      </c>
      <c r="E66" s="9">
        <v>46038</v>
      </c>
      <c r="F66" s="10">
        <v>5.5563026988845979E-2</v>
      </c>
      <c r="G66" s="10">
        <f t="shared" si="0"/>
        <v>4.5163597693642643E-3</v>
      </c>
      <c r="H66" s="8">
        <v>12</v>
      </c>
      <c r="I66" s="11">
        <v>35389</v>
      </c>
      <c r="J66" s="9">
        <f t="shared" si="1"/>
        <v>46403</v>
      </c>
      <c r="K66" s="11">
        <f t="shared" ca="1" si="2"/>
        <v>36358.869868837384</v>
      </c>
      <c r="L66" s="11">
        <f ca="1">Tabla2[[#This Row],[SaldoActual]]-Tabla2[[#This Row],[MontoDepositado]]</f>
        <v>969.86986883738427</v>
      </c>
      <c r="M66" s="7" t="str">
        <f t="shared" ca="1" si="3"/>
        <v>Vigente</v>
      </c>
    </row>
    <row r="67" spans="1:13" x14ac:dyDescent="0.25">
      <c r="A67" t="s">
        <v>1322</v>
      </c>
      <c r="B67" t="s">
        <v>389</v>
      </c>
      <c r="C67" s="8" t="s">
        <v>48</v>
      </c>
      <c r="D67" s="8" t="str">
        <f>_xlfn.XLOOKUP(Tabla2[[#This Row],[ClienteID]],Clientes!A:A,Clientes!G:G,"No encontrado",0)</f>
        <v>AG05</v>
      </c>
      <c r="E67" s="9">
        <v>46083</v>
      </c>
      <c r="F67" s="10">
        <v>4.7133946959408361E-2</v>
      </c>
      <c r="G67" s="10">
        <f t="shared" ref="G67:G130" si="4">(1+F67)^(1/12)-1</f>
        <v>3.8454463087140844E-3</v>
      </c>
      <c r="H67" s="8">
        <v>6</v>
      </c>
      <c r="I67" s="11">
        <v>48940</v>
      </c>
      <c r="J67" s="9">
        <f t="shared" ref="J67:J130" si="5">IF(H67=0,"",EDATE(E67,H67))</f>
        <v>46267</v>
      </c>
      <c r="K67" s="11">
        <f t="shared" ref="K67:K130" ca="1" si="6">IF(C67="TD01",I67*(1+G67)^DATEDIF(E67,TODAY(),"m"),I67*(1+G67)^MIN(DATEDIF(E67,TODAY(),"m"),H67))</f>
        <v>49888.245576325055</v>
      </c>
      <c r="L67" s="11">
        <f ca="1">Tabla2[[#This Row],[SaldoActual]]-Tabla2[[#This Row],[MontoDepositado]]</f>
        <v>948.24557632505457</v>
      </c>
      <c r="M67" s="7" t="str">
        <f t="shared" ref="M67:M130" ca="1" si="7">IF(H67=0,"Vigente",IF(TODAY()&gt;J67,"Vencido","Vigente"))</f>
        <v>Vigente</v>
      </c>
    </row>
    <row r="68" spans="1:13" x14ac:dyDescent="0.25">
      <c r="A68" t="s">
        <v>1323</v>
      </c>
      <c r="B68" t="s">
        <v>356</v>
      </c>
      <c r="C68" s="8" t="s">
        <v>46</v>
      </c>
      <c r="D68" s="8" t="str">
        <f>_xlfn.XLOOKUP(Tabla2[[#This Row],[ClienteID]],Clientes!A:A,Clientes!G:G,"No encontrado",0)</f>
        <v>AG05</v>
      </c>
      <c r="E68" s="9">
        <v>46123</v>
      </c>
      <c r="F68" s="10">
        <v>3.1420499387155763E-2</v>
      </c>
      <c r="G68" s="10">
        <f t="shared" si="4"/>
        <v>2.581407588089446E-3</v>
      </c>
      <c r="H68" s="8">
        <v>3</v>
      </c>
      <c r="I68" s="11">
        <v>17916</v>
      </c>
      <c r="J68" s="9">
        <f t="shared" si="5"/>
        <v>46214</v>
      </c>
      <c r="K68" s="11">
        <f t="shared" ca="1" si="6"/>
        <v>18055.10396190286</v>
      </c>
      <c r="L68" s="11">
        <f ca="1">Tabla2[[#This Row],[SaldoActual]]-Tabla2[[#This Row],[MontoDepositado]]</f>
        <v>139.10396190285974</v>
      </c>
      <c r="M68" s="7" t="str">
        <f t="shared" ca="1" si="7"/>
        <v>Vencido</v>
      </c>
    </row>
    <row r="69" spans="1:13" x14ac:dyDescent="0.25">
      <c r="A69" t="s">
        <v>1324</v>
      </c>
      <c r="B69" t="s">
        <v>149</v>
      </c>
      <c r="C69" s="8" t="s">
        <v>52</v>
      </c>
      <c r="D69" s="8" t="str">
        <f>_xlfn.XLOOKUP(Tabla2[[#This Row],[ClienteID]],Clientes!A:A,Clientes!G:G,"No encontrado",0)</f>
        <v>AG08</v>
      </c>
      <c r="E69" s="9">
        <v>46127</v>
      </c>
      <c r="F69" s="10">
        <v>3.6407317049069784E-2</v>
      </c>
      <c r="G69" s="10">
        <f t="shared" si="4"/>
        <v>2.9844638163314396E-3</v>
      </c>
      <c r="H69" s="8">
        <v>6</v>
      </c>
      <c r="I69" s="11">
        <v>31997</v>
      </c>
      <c r="J69" s="9">
        <f t="shared" si="5"/>
        <v>46310</v>
      </c>
      <c r="K69" s="11">
        <f t="shared" ca="1" si="6"/>
        <v>32284.337510926656</v>
      </c>
      <c r="L69" s="11">
        <f ca="1">Tabla2[[#This Row],[SaldoActual]]-Tabla2[[#This Row],[MontoDepositado]]</f>
        <v>287.33751092665625</v>
      </c>
      <c r="M69" s="7" t="str">
        <f t="shared" ca="1" si="7"/>
        <v>Vigente</v>
      </c>
    </row>
    <row r="70" spans="1:13" x14ac:dyDescent="0.25">
      <c r="A70" t="s">
        <v>1325</v>
      </c>
      <c r="B70" t="s">
        <v>576</v>
      </c>
      <c r="C70" s="8" t="s">
        <v>50</v>
      </c>
      <c r="D70" s="8" t="str">
        <f>_xlfn.XLOOKUP(Tabla2[[#This Row],[ClienteID]],Clientes!A:A,Clientes!G:G,"No encontrado",0)</f>
        <v>AG06</v>
      </c>
      <c r="E70" s="9">
        <v>45836</v>
      </c>
      <c r="F70" s="10">
        <v>6.8552187796105987E-2</v>
      </c>
      <c r="G70" s="10">
        <f t="shared" si="4"/>
        <v>5.5406794924934832E-3</v>
      </c>
      <c r="H70" s="8">
        <v>12</v>
      </c>
      <c r="I70" s="11">
        <v>42029</v>
      </c>
      <c r="J70" s="9">
        <f t="shared" si="5"/>
        <v>46201</v>
      </c>
      <c r="K70" s="11">
        <f t="shared" ca="1" si="6"/>
        <v>44910.17990088254</v>
      </c>
      <c r="L70" s="11">
        <f ca="1">Tabla2[[#This Row],[SaldoActual]]-Tabla2[[#This Row],[MontoDepositado]]</f>
        <v>2881.1799008825401</v>
      </c>
      <c r="M70" s="7" t="str">
        <f t="shared" ca="1" si="7"/>
        <v>Vencido</v>
      </c>
    </row>
    <row r="71" spans="1:13" x14ac:dyDescent="0.25">
      <c r="A71" t="s">
        <v>1326</v>
      </c>
      <c r="B71" t="s">
        <v>60</v>
      </c>
      <c r="C71" s="8" t="s">
        <v>46</v>
      </c>
      <c r="D71" s="8" t="str">
        <f>_xlfn.XLOOKUP(Tabla2[[#This Row],[ClienteID]],Clientes!A:A,Clientes!G:G,"No encontrado",0)</f>
        <v>AG07</v>
      </c>
      <c r="E71" s="9">
        <v>45831</v>
      </c>
      <c r="F71" s="10">
        <v>3.0151418005524153E-2</v>
      </c>
      <c r="G71" s="10">
        <f t="shared" si="4"/>
        <v>2.4785498060126976E-3</v>
      </c>
      <c r="H71" s="8">
        <v>3</v>
      </c>
      <c r="I71" s="11">
        <v>6706</v>
      </c>
      <c r="J71" s="9">
        <f t="shared" si="5"/>
        <v>45923</v>
      </c>
      <c r="K71" s="11">
        <f t="shared" ca="1" si="6"/>
        <v>6755.9871561860919</v>
      </c>
      <c r="L71" s="11">
        <f ca="1">Tabla2[[#This Row],[SaldoActual]]-Tabla2[[#This Row],[MontoDepositado]]</f>
        <v>49.987156186091852</v>
      </c>
      <c r="M71" s="7" t="str">
        <f t="shared" ca="1" si="7"/>
        <v>Vencido</v>
      </c>
    </row>
    <row r="72" spans="1:13" x14ac:dyDescent="0.25">
      <c r="A72" t="s">
        <v>1327</v>
      </c>
      <c r="B72" t="s">
        <v>371</v>
      </c>
      <c r="C72" s="8" t="s">
        <v>48</v>
      </c>
      <c r="D72" s="8" t="str">
        <f>_xlfn.XLOOKUP(Tabla2[[#This Row],[ClienteID]],Clientes!A:A,Clientes!G:G,"No encontrado",0)</f>
        <v>AG02</v>
      </c>
      <c r="E72" s="9">
        <v>46243</v>
      </c>
      <c r="F72" s="10">
        <v>4.0113651326058576E-2</v>
      </c>
      <c r="G72" s="10">
        <f t="shared" si="4"/>
        <v>3.2828758142715575E-3</v>
      </c>
      <c r="H72" s="8">
        <v>6</v>
      </c>
      <c r="I72" s="11">
        <v>25773</v>
      </c>
      <c r="J72" s="9">
        <f t="shared" si="5"/>
        <v>46427</v>
      </c>
      <c r="K72" s="11">
        <f t="shared" ca="1" si="6"/>
        <v>25773</v>
      </c>
      <c r="L72" s="11">
        <f ca="1">Tabla2[[#This Row],[SaldoActual]]-Tabla2[[#This Row],[MontoDepositado]]</f>
        <v>0</v>
      </c>
      <c r="M72" s="7" t="str">
        <f t="shared" ca="1" si="7"/>
        <v>Vigente</v>
      </c>
    </row>
    <row r="73" spans="1:13" x14ac:dyDescent="0.25">
      <c r="A73" t="s">
        <v>1328</v>
      </c>
      <c r="B73" t="s">
        <v>636</v>
      </c>
      <c r="C73" s="8" t="s">
        <v>46</v>
      </c>
      <c r="D73" s="8" t="str">
        <f>_xlfn.XLOOKUP(Tabla2[[#This Row],[ClienteID]],Clientes!A:A,Clientes!G:G,"No encontrado",0)</f>
        <v>AG07</v>
      </c>
      <c r="E73" s="9">
        <v>45821</v>
      </c>
      <c r="F73" s="10">
        <v>3.6997006654655745E-2</v>
      </c>
      <c r="G73" s="10">
        <f t="shared" si="4"/>
        <v>3.0320074896321714E-3</v>
      </c>
      <c r="H73" s="8">
        <v>3</v>
      </c>
      <c r="I73" s="11">
        <v>3296</v>
      </c>
      <c r="J73" s="9">
        <f t="shared" si="5"/>
        <v>45913</v>
      </c>
      <c r="K73" s="11">
        <f t="shared" ca="1" si="6"/>
        <v>3326.0714829987887</v>
      </c>
      <c r="L73" s="11">
        <f ca="1">Tabla2[[#This Row],[SaldoActual]]-Tabla2[[#This Row],[MontoDepositado]]</f>
        <v>30.071482998788724</v>
      </c>
      <c r="M73" s="7" t="str">
        <f t="shared" ca="1" si="7"/>
        <v>Vencido</v>
      </c>
    </row>
    <row r="74" spans="1:13" x14ac:dyDescent="0.25">
      <c r="A74" t="s">
        <v>1329</v>
      </c>
      <c r="B74" t="s">
        <v>672</v>
      </c>
      <c r="C74" s="8" t="s">
        <v>48</v>
      </c>
      <c r="D74" s="8" t="str">
        <f>_xlfn.XLOOKUP(Tabla2[[#This Row],[ClienteID]],Clientes!A:A,Clientes!G:G,"No encontrado",0)</f>
        <v>AG06</v>
      </c>
      <c r="E74" s="9">
        <v>46227</v>
      </c>
      <c r="F74" s="10">
        <v>4.2208623926011601E-2</v>
      </c>
      <c r="G74" s="10">
        <f t="shared" si="4"/>
        <v>3.4511196300981428E-3</v>
      </c>
      <c r="H74" s="8">
        <v>6</v>
      </c>
      <c r="I74" s="11">
        <v>7781</v>
      </c>
      <c r="J74" s="9">
        <f t="shared" si="5"/>
        <v>46411</v>
      </c>
      <c r="K74" s="11">
        <f t="shared" ca="1" si="6"/>
        <v>7781</v>
      </c>
      <c r="L74" s="11">
        <f ca="1">Tabla2[[#This Row],[SaldoActual]]-Tabla2[[#This Row],[MontoDepositado]]</f>
        <v>0</v>
      </c>
      <c r="M74" s="7" t="str">
        <f t="shared" ca="1" si="7"/>
        <v>Vigente</v>
      </c>
    </row>
    <row r="75" spans="1:13" x14ac:dyDescent="0.25">
      <c r="A75" t="s">
        <v>1330</v>
      </c>
      <c r="B75" t="s">
        <v>468</v>
      </c>
      <c r="C75" s="8" t="s">
        <v>50</v>
      </c>
      <c r="D75" s="8" t="str">
        <f>_xlfn.XLOOKUP(Tabla2[[#This Row],[ClienteID]],Clientes!A:A,Clientes!G:G,"No encontrado",0)</f>
        <v>AG06</v>
      </c>
      <c r="E75" s="9">
        <v>45927</v>
      </c>
      <c r="F75" s="10">
        <v>5.7596162408665948E-2</v>
      </c>
      <c r="G75" s="10">
        <f t="shared" si="4"/>
        <v>4.6774520798873453E-3</v>
      </c>
      <c r="H75" s="8">
        <v>12</v>
      </c>
      <c r="I75" s="11">
        <v>33476</v>
      </c>
      <c r="J75" s="9">
        <f t="shared" si="5"/>
        <v>46292</v>
      </c>
      <c r="K75" s="11">
        <f t="shared" ca="1" si="6"/>
        <v>35075.196635162756</v>
      </c>
      <c r="L75" s="11">
        <f ca="1">Tabla2[[#This Row],[SaldoActual]]-Tabla2[[#This Row],[MontoDepositado]]</f>
        <v>1599.1966351627561</v>
      </c>
      <c r="M75" s="7" t="str">
        <f t="shared" ca="1" si="7"/>
        <v>Vigente</v>
      </c>
    </row>
    <row r="76" spans="1:13" x14ac:dyDescent="0.25">
      <c r="A76" t="s">
        <v>1331</v>
      </c>
      <c r="B76" t="s">
        <v>166</v>
      </c>
      <c r="C76" s="8" t="s">
        <v>45</v>
      </c>
      <c r="D76" s="8" t="str">
        <f>_xlfn.XLOOKUP(Tabla2[[#This Row],[ClienteID]],Clientes!A:A,Clientes!G:G,"No encontrado",0)</f>
        <v>AG06</v>
      </c>
      <c r="E76" s="9">
        <v>46030</v>
      </c>
      <c r="F76" s="10">
        <v>1.401820117014765E-2</v>
      </c>
      <c r="G76" s="10">
        <f t="shared" si="4"/>
        <v>1.1607443828998143E-3</v>
      </c>
      <c r="H76" s="8"/>
      <c r="I76" s="11">
        <v>551</v>
      </c>
      <c r="J76" s="9" t="str">
        <f t="shared" si="5"/>
        <v/>
      </c>
      <c r="K76" s="11">
        <f t="shared" ca="1" si="6"/>
        <v>555.49261120650533</v>
      </c>
      <c r="L76" s="11">
        <f ca="1">Tabla2[[#This Row],[SaldoActual]]-Tabla2[[#This Row],[MontoDepositado]]</f>
        <v>4.4926112065053303</v>
      </c>
      <c r="M76" s="7" t="str">
        <f t="shared" ca="1" si="7"/>
        <v>Vigente</v>
      </c>
    </row>
    <row r="77" spans="1:13" x14ac:dyDescent="0.25">
      <c r="A77" t="s">
        <v>1332</v>
      </c>
      <c r="B77" t="s">
        <v>89</v>
      </c>
      <c r="C77" s="8" t="s">
        <v>50</v>
      </c>
      <c r="D77" s="8" t="str">
        <f>_xlfn.XLOOKUP(Tabla2[[#This Row],[ClienteID]],Clientes!A:A,Clientes!G:G,"No encontrado",0)</f>
        <v>AG07</v>
      </c>
      <c r="E77" s="9">
        <v>45918</v>
      </c>
      <c r="F77" s="10">
        <v>6.0156375151563725E-2</v>
      </c>
      <c r="G77" s="10">
        <f t="shared" si="4"/>
        <v>4.8799032140649512E-3</v>
      </c>
      <c r="H77" s="8">
        <v>12</v>
      </c>
      <c r="I77" s="11">
        <v>16468</v>
      </c>
      <c r="J77" s="9">
        <f t="shared" si="5"/>
        <v>46283</v>
      </c>
      <c r="K77" s="11">
        <f t="shared" ca="1" si="6"/>
        <v>17289.501277521242</v>
      </c>
      <c r="L77" s="11">
        <f ca="1">Tabla2[[#This Row],[SaldoActual]]-Tabla2[[#This Row],[MontoDepositado]]</f>
        <v>821.50127752124172</v>
      </c>
      <c r="M77" s="7" t="str">
        <f t="shared" ca="1" si="7"/>
        <v>Vigente</v>
      </c>
    </row>
    <row r="78" spans="1:13" x14ac:dyDescent="0.25">
      <c r="A78" t="s">
        <v>1333</v>
      </c>
      <c r="B78" t="s">
        <v>579</v>
      </c>
      <c r="C78" s="8" t="s">
        <v>48</v>
      </c>
      <c r="D78" s="8" t="str">
        <f>_xlfn.XLOOKUP(Tabla2[[#This Row],[ClienteID]],Clientes!A:A,Clientes!G:G,"No encontrado",0)</f>
        <v>AG07</v>
      </c>
      <c r="E78" s="9">
        <v>46089</v>
      </c>
      <c r="F78" s="10">
        <v>4.6615788798247369E-2</v>
      </c>
      <c r="G78" s="10">
        <f t="shared" si="4"/>
        <v>3.8040421248510814E-3</v>
      </c>
      <c r="H78" s="8">
        <v>6</v>
      </c>
      <c r="I78" s="11">
        <v>34956</v>
      </c>
      <c r="J78" s="9">
        <f t="shared" si="5"/>
        <v>46273</v>
      </c>
      <c r="K78" s="11">
        <f t="shared" ca="1" si="6"/>
        <v>35625.948152186371</v>
      </c>
      <c r="L78" s="11">
        <f ca="1">Tabla2[[#This Row],[SaldoActual]]-Tabla2[[#This Row],[MontoDepositado]]</f>
        <v>669.94815218637086</v>
      </c>
      <c r="M78" s="7" t="str">
        <f t="shared" ca="1" si="7"/>
        <v>Vigente</v>
      </c>
    </row>
    <row r="79" spans="1:13" x14ac:dyDescent="0.25">
      <c r="A79" t="s">
        <v>1334</v>
      </c>
      <c r="B79" t="s">
        <v>368</v>
      </c>
      <c r="C79" s="8" t="s">
        <v>52</v>
      </c>
      <c r="D79" s="8" t="str">
        <f>_xlfn.XLOOKUP(Tabla2[[#This Row],[ClienteID]],Clientes!A:A,Clientes!G:G,"No encontrado",0)</f>
        <v>AG04</v>
      </c>
      <c r="E79" s="9">
        <v>45994</v>
      </c>
      <c r="F79" s="10">
        <v>3.4208790890899919E-2</v>
      </c>
      <c r="G79" s="10">
        <f t="shared" si="4"/>
        <v>2.8069889975415041E-3</v>
      </c>
      <c r="H79" s="8">
        <v>6</v>
      </c>
      <c r="I79" s="11">
        <v>16385</v>
      </c>
      <c r="J79" s="9">
        <f t="shared" si="5"/>
        <v>46176</v>
      </c>
      <c r="K79" s="11">
        <f t="shared" ca="1" si="6"/>
        <v>16662.898858538265</v>
      </c>
      <c r="L79" s="11">
        <f ca="1">Tabla2[[#This Row],[SaldoActual]]-Tabla2[[#This Row],[MontoDepositado]]</f>
        <v>277.8988585382649</v>
      </c>
      <c r="M79" s="7" t="str">
        <f t="shared" ca="1" si="7"/>
        <v>Vencido</v>
      </c>
    </row>
    <row r="80" spans="1:13" x14ac:dyDescent="0.25">
      <c r="A80" t="s">
        <v>1335</v>
      </c>
      <c r="B80" t="s">
        <v>156</v>
      </c>
      <c r="C80" s="8" t="s">
        <v>46</v>
      </c>
      <c r="D80" s="8" t="str">
        <f>_xlfn.XLOOKUP(Tabla2[[#This Row],[ClienteID]],Clientes!A:A,Clientes!G:G,"No encontrado",0)</f>
        <v>AG05</v>
      </c>
      <c r="E80" s="9">
        <v>46167</v>
      </c>
      <c r="F80" s="10">
        <v>3.4826696399725923E-2</v>
      </c>
      <c r="G80" s="10">
        <f t="shared" si="4"/>
        <v>2.8569039946715336E-3</v>
      </c>
      <c r="H80" s="8">
        <v>3</v>
      </c>
      <c r="I80" s="11">
        <v>16090</v>
      </c>
      <c r="J80" s="9">
        <f t="shared" si="5"/>
        <v>46259</v>
      </c>
      <c r="K80" s="11">
        <f t="shared" ca="1" si="6"/>
        <v>16182.066495526527</v>
      </c>
      <c r="L80" s="11">
        <f ca="1">Tabla2[[#This Row],[SaldoActual]]-Tabla2[[#This Row],[MontoDepositado]]</f>
        <v>92.066495526527433</v>
      </c>
      <c r="M80" s="7" t="str">
        <f t="shared" ca="1" si="7"/>
        <v>Vigente</v>
      </c>
    </row>
    <row r="81" spans="1:13" x14ac:dyDescent="0.25">
      <c r="A81" t="s">
        <v>1336</v>
      </c>
      <c r="B81" t="s">
        <v>825</v>
      </c>
      <c r="C81" s="8" t="s">
        <v>45</v>
      </c>
      <c r="D81" s="8" t="str">
        <f>_xlfn.XLOOKUP(Tabla2[[#This Row],[ClienteID]],Clientes!A:A,Clientes!G:G,"No encontrado",0)</f>
        <v>AG06</v>
      </c>
      <c r="E81" s="9">
        <v>46069</v>
      </c>
      <c r="F81" s="10">
        <v>1.1526702307563455E-2</v>
      </c>
      <c r="G81" s="10">
        <f t="shared" si="4"/>
        <v>9.5552088611028374E-4</v>
      </c>
      <c r="H81" s="8"/>
      <c r="I81" s="11">
        <v>14826</v>
      </c>
      <c r="J81" s="9" t="str">
        <f t="shared" si="5"/>
        <v/>
      </c>
      <c r="K81" s="11">
        <f t="shared" ca="1" si="6"/>
        <v>14896.968257062124</v>
      </c>
      <c r="L81" s="11">
        <f ca="1">Tabla2[[#This Row],[SaldoActual]]-Tabla2[[#This Row],[MontoDepositado]]</f>
        <v>70.968257062124394</v>
      </c>
      <c r="M81" s="7" t="str">
        <f t="shared" ca="1" si="7"/>
        <v>Vigente</v>
      </c>
    </row>
    <row r="82" spans="1:13" x14ac:dyDescent="0.25">
      <c r="A82" t="s">
        <v>1337</v>
      </c>
      <c r="B82" t="s">
        <v>807</v>
      </c>
      <c r="C82" s="8" t="s">
        <v>46</v>
      </c>
      <c r="D82" s="8" t="str">
        <f>_xlfn.XLOOKUP(Tabla2[[#This Row],[ClienteID]],Clientes!A:A,Clientes!G:G,"No encontrado",0)</f>
        <v>AG08</v>
      </c>
      <c r="E82" s="9">
        <v>45480</v>
      </c>
      <c r="F82" s="10">
        <v>3.5390725568567795E-2</v>
      </c>
      <c r="G82" s="10">
        <f t="shared" si="4"/>
        <v>2.9024429637172222E-3</v>
      </c>
      <c r="H82" s="8">
        <v>3</v>
      </c>
      <c r="I82" s="11">
        <v>34512</v>
      </c>
      <c r="J82" s="9">
        <f t="shared" si="5"/>
        <v>45572</v>
      </c>
      <c r="K82" s="11">
        <f t="shared" ca="1" si="6"/>
        <v>34813.380383932694</v>
      </c>
      <c r="L82" s="11">
        <f ca="1">Tabla2[[#This Row],[SaldoActual]]-Tabla2[[#This Row],[MontoDepositado]]</f>
        <v>301.3803839326938</v>
      </c>
      <c r="M82" s="7" t="str">
        <f t="shared" ca="1" si="7"/>
        <v>Vencido</v>
      </c>
    </row>
    <row r="83" spans="1:13" x14ac:dyDescent="0.25">
      <c r="A83" t="s">
        <v>1338</v>
      </c>
      <c r="B83" t="s">
        <v>112</v>
      </c>
      <c r="C83" s="8" t="s">
        <v>46</v>
      </c>
      <c r="D83" s="8" t="str">
        <f>_xlfn.XLOOKUP(Tabla2[[#This Row],[ClienteID]],Clientes!A:A,Clientes!G:G,"No encontrado",0)</f>
        <v>AG05</v>
      </c>
      <c r="E83" s="9">
        <v>46169</v>
      </c>
      <c r="F83" s="10">
        <v>3.1997644613268227E-2</v>
      </c>
      <c r="G83" s="10">
        <f t="shared" si="4"/>
        <v>2.6281462627288921E-3</v>
      </c>
      <c r="H83" s="8">
        <v>3</v>
      </c>
      <c r="I83" s="11">
        <v>38404</v>
      </c>
      <c r="J83" s="9">
        <f t="shared" si="5"/>
        <v>46261</v>
      </c>
      <c r="K83" s="11">
        <f t="shared" ca="1" si="6"/>
        <v>38606.127920442981</v>
      </c>
      <c r="L83" s="11">
        <f ca="1">Tabla2[[#This Row],[SaldoActual]]-Tabla2[[#This Row],[MontoDepositado]]</f>
        <v>202.12792044298112</v>
      </c>
      <c r="M83" s="7" t="str">
        <f t="shared" ca="1" si="7"/>
        <v>Vigente</v>
      </c>
    </row>
    <row r="84" spans="1:13" x14ac:dyDescent="0.25">
      <c r="A84" t="s">
        <v>1339</v>
      </c>
      <c r="B84" t="s">
        <v>116</v>
      </c>
      <c r="C84" s="8" t="s">
        <v>48</v>
      </c>
      <c r="D84" s="8" t="str">
        <f>_xlfn.XLOOKUP(Tabla2[[#This Row],[ClienteID]],Clientes!A:A,Clientes!G:G,"No encontrado",0)</f>
        <v>AG06</v>
      </c>
      <c r="E84" s="9">
        <v>46207</v>
      </c>
      <c r="F84" s="10">
        <v>4.2020106434586132E-2</v>
      </c>
      <c r="G84" s="10">
        <f t="shared" si="4"/>
        <v>3.4359927984664029E-3</v>
      </c>
      <c r="H84" s="8">
        <v>6</v>
      </c>
      <c r="I84" s="11">
        <v>33250</v>
      </c>
      <c r="J84" s="9">
        <f t="shared" si="5"/>
        <v>46391</v>
      </c>
      <c r="K84" s="11">
        <f t="shared" ca="1" si="6"/>
        <v>33364.246760549009</v>
      </c>
      <c r="L84" s="11">
        <f ca="1">Tabla2[[#This Row],[SaldoActual]]-Tabla2[[#This Row],[MontoDepositado]]</f>
        <v>114.2467605490092</v>
      </c>
      <c r="M84" s="7" t="str">
        <f t="shared" ca="1" si="7"/>
        <v>Vigente</v>
      </c>
    </row>
    <row r="85" spans="1:13" x14ac:dyDescent="0.25">
      <c r="A85" t="s">
        <v>1340</v>
      </c>
      <c r="B85" t="s">
        <v>198</v>
      </c>
      <c r="C85" s="8" t="s">
        <v>46</v>
      </c>
      <c r="D85" s="8" t="str">
        <f>_xlfn.XLOOKUP(Tabla2[[#This Row],[ClienteID]],Clientes!A:A,Clientes!G:G,"No encontrado",0)</f>
        <v>AG05</v>
      </c>
      <c r="E85" s="9">
        <v>45611</v>
      </c>
      <c r="F85" s="10">
        <v>3.5255211679796103E-2</v>
      </c>
      <c r="G85" s="10">
        <f t="shared" si="4"/>
        <v>2.8915038273951144E-3</v>
      </c>
      <c r="H85" s="8">
        <v>3</v>
      </c>
      <c r="I85" s="11">
        <v>12779</v>
      </c>
      <c r="J85" s="9">
        <f t="shared" si="5"/>
        <v>45703</v>
      </c>
      <c r="K85" s="11">
        <f t="shared" ca="1" si="6"/>
        <v>12890.172418940901</v>
      </c>
      <c r="L85" s="11">
        <f ca="1">Tabla2[[#This Row],[SaldoActual]]-Tabla2[[#This Row],[MontoDepositado]]</f>
        <v>111.17241894090148</v>
      </c>
      <c r="M85" s="7" t="str">
        <f t="shared" ca="1" si="7"/>
        <v>Vencido</v>
      </c>
    </row>
    <row r="86" spans="1:13" x14ac:dyDescent="0.25">
      <c r="A86" t="s">
        <v>1341</v>
      </c>
      <c r="B86" t="s">
        <v>392</v>
      </c>
      <c r="C86" s="8" t="s">
        <v>52</v>
      </c>
      <c r="D86" s="8" t="str">
        <f>_xlfn.XLOOKUP(Tabla2[[#This Row],[ClienteID]],Clientes!A:A,Clientes!G:G,"No encontrado",0)</f>
        <v>AG03</v>
      </c>
      <c r="E86" s="9">
        <v>45229</v>
      </c>
      <c r="F86" s="10">
        <v>4.4914059070091265E-2</v>
      </c>
      <c r="G86" s="10">
        <f t="shared" si="4"/>
        <v>3.6679306127234135E-3</v>
      </c>
      <c r="H86" s="8">
        <v>6</v>
      </c>
      <c r="I86" s="11">
        <v>2334</v>
      </c>
      <c r="J86" s="9">
        <f t="shared" si="5"/>
        <v>45412</v>
      </c>
      <c r="K86" s="11">
        <f t="shared" ca="1" si="6"/>
        <v>2385.8390247398579</v>
      </c>
      <c r="L86" s="11">
        <f ca="1">Tabla2[[#This Row],[SaldoActual]]-Tabla2[[#This Row],[MontoDepositado]]</f>
        <v>51.839024739857905</v>
      </c>
      <c r="M86" s="7" t="str">
        <f t="shared" ca="1" si="7"/>
        <v>Vencido</v>
      </c>
    </row>
    <row r="87" spans="1:13" x14ac:dyDescent="0.25">
      <c r="A87" t="s">
        <v>1342</v>
      </c>
      <c r="B87" t="s">
        <v>279</v>
      </c>
      <c r="C87" s="8" t="s">
        <v>45</v>
      </c>
      <c r="D87" s="8" t="str">
        <f>_xlfn.XLOOKUP(Tabla2[[#This Row],[ClienteID]],Clientes!A:A,Clientes!G:G,"No encontrado",0)</f>
        <v>AG06</v>
      </c>
      <c r="E87" s="9">
        <v>46071</v>
      </c>
      <c r="F87" s="10">
        <v>1.2845304502476378E-2</v>
      </c>
      <c r="G87" s="10">
        <f t="shared" si="4"/>
        <v>1.064191128387515E-3</v>
      </c>
      <c r="H87" s="8"/>
      <c r="I87" s="11">
        <v>38847</v>
      </c>
      <c r="J87" s="9" t="str">
        <f t="shared" si="5"/>
        <v/>
      </c>
      <c r="K87" s="11">
        <f t="shared" ca="1" si="6"/>
        <v>39054.143575601629</v>
      </c>
      <c r="L87" s="11">
        <f ca="1">Tabla2[[#This Row],[SaldoActual]]-Tabla2[[#This Row],[MontoDepositado]]</f>
        <v>207.14357560162898</v>
      </c>
      <c r="M87" s="7" t="str">
        <f t="shared" ca="1" si="7"/>
        <v>Vigente</v>
      </c>
    </row>
    <row r="88" spans="1:13" x14ac:dyDescent="0.25">
      <c r="A88" t="s">
        <v>1343</v>
      </c>
      <c r="B88" t="s">
        <v>291</v>
      </c>
      <c r="C88" s="8" t="s">
        <v>46</v>
      </c>
      <c r="D88" s="8" t="str">
        <f>_xlfn.XLOOKUP(Tabla2[[#This Row],[ClienteID]],Clientes!A:A,Clientes!G:G,"No encontrado",0)</f>
        <v>AG05</v>
      </c>
      <c r="E88" s="9">
        <v>45857</v>
      </c>
      <c r="F88" s="10">
        <v>3.1170346197062906E-2</v>
      </c>
      <c r="G88" s="10">
        <f t="shared" si="4"/>
        <v>2.5611421046356497E-3</v>
      </c>
      <c r="H88" s="8">
        <v>3</v>
      </c>
      <c r="I88" s="11">
        <v>35564</v>
      </c>
      <c r="J88" s="9">
        <f t="shared" si="5"/>
        <v>45949</v>
      </c>
      <c r="K88" s="11">
        <f t="shared" ca="1" si="6"/>
        <v>35837.953811611544</v>
      </c>
      <c r="L88" s="11">
        <f ca="1">Tabla2[[#This Row],[SaldoActual]]-Tabla2[[#This Row],[MontoDepositado]]</f>
        <v>273.95381161154364</v>
      </c>
      <c r="M88" s="7" t="str">
        <f t="shared" ca="1" si="7"/>
        <v>Vencido</v>
      </c>
    </row>
    <row r="89" spans="1:13" x14ac:dyDescent="0.25">
      <c r="A89" t="s">
        <v>1344</v>
      </c>
      <c r="B89" t="s">
        <v>350</v>
      </c>
      <c r="C89" s="8" t="s">
        <v>50</v>
      </c>
      <c r="D89" s="8" t="str">
        <f>_xlfn.XLOOKUP(Tabla2[[#This Row],[ClienteID]],Clientes!A:A,Clientes!G:G,"No encontrado",0)</f>
        <v>AG03</v>
      </c>
      <c r="E89" s="9">
        <v>44965</v>
      </c>
      <c r="F89" s="10">
        <v>6.0276362346808075E-2</v>
      </c>
      <c r="G89" s="10">
        <f t="shared" si="4"/>
        <v>4.8893803118059687E-3</v>
      </c>
      <c r="H89" s="8">
        <v>12</v>
      </c>
      <c r="I89" s="11">
        <v>32179</v>
      </c>
      <c r="J89" s="9">
        <f t="shared" si="5"/>
        <v>45330</v>
      </c>
      <c r="K89" s="11">
        <f t="shared" ca="1" si="6"/>
        <v>34118.633063957968</v>
      </c>
      <c r="L89" s="11">
        <f ca="1">Tabla2[[#This Row],[SaldoActual]]-Tabla2[[#This Row],[MontoDepositado]]</f>
        <v>1939.6330639579683</v>
      </c>
      <c r="M89" s="7" t="str">
        <f t="shared" ca="1" si="7"/>
        <v>Vencido</v>
      </c>
    </row>
    <row r="90" spans="1:13" x14ac:dyDescent="0.25">
      <c r="A90" t="s">
        <v>1345</v>
      </c>
      <c r="B90" t="s">
        <v>307</v>
      </c>
      <c r="C90" s="8" t="s">
        <v>45</v>
      </c>
      <c r="D90" s="8" t="str">
        <f>_xlfn.XLOOKUP(Tabla2[[#This Row],[ClienteID]],Clientes!A:A,Clientes!G:G,"No encontrado",0)</f>
        <v>AG04</v>
      </c>
      <c r="E90" s="9">
        <v>45911</v>
      </c>
      <c r="F90" s="10">
        <v>1.1806902899088352E-2</v>
      </c>
      <c r="G90" s="10">
        <f t="shared" si="4"/>
        <v>9.7862397753423203E-4</v>
      </c>
      <c r="H90" s="8"/>
      <c r="I90" s="11">
        <v>43856</v>
      </c>
      <c r="J90" s="9" t="str">
        <f t="shared" si="5"/>
        <v/>
      </c>
      <c r="K90" s="11">
        <f t="shared" ca="1" si="6"/>
        <v>44330.420720890819</v>
      </c>
      <c r="L90" s="11">
        <f ca="1">Tabla2[[#This Row],[SaldoActual]]-Tabla2[[#This Row],[MontoDepositado]]</f>
        <v>474.42072089081921</v>
      </c>
      <c r="M90" s="7" t="str">
        <f t="shared" ca="1" si="7"/>
        <v>Vigente</v>
      </c>
    </row>
    <row r="91" spans="1:13" x14ac:dyDescent="0.25">
      <c r="A91" t="s">
        <v>1346</v>
      </c>
      <c r="B91" t="s">
        <v>492</v>
      </c>
      <c r="C91" s="8" t="s">
        <v>45</v>
      </c>
      <c r="D91" s="8" t="str">
        <f>_xlfn.XLOOKUP(Tabla2[[#This Row],[ClienteID]],Clientes!A:A,Clientes!G:G,"No encontrado",0)</f>
        <v>AG03</v>
      </c>
      <c r="E91" s="9">
        <v>45745</v>
      </c>
      <c r="F91" s="10">
        <v>8.0376923609667538E-3</v>
      </c>
      <c r="G91" s="10">
        <f t="shared" si="4"/>
        <v>6.6735276127571908E-4</v>
      </c>
      <c r="H91" s="8"/>
      <c r="I91" s="11">
        <v>16553</v>
      </c>
      <c r="J91" s="9" t="str">
        <f t="shared" si="5"/>
        <v/>
      </c>
      <c r="K91" s="11">
        <f t="shared" ca="1" si="6"/>
        <v>16730.634449873349</v>
      </c>
      <c r="L91" s="11">
        <f ca="1">Tabla2[[#This Row],[SaldoActual]]-Tabla2[[#This Row],[MontoDepositado]]</f>
        <v>177.63444987334879</v>
      </c>
      <c r="M91" s="7" t="str">
        <f t="shared" ca="1" si="7"/>
        <v>Vigente</v>
      </c>
    </row>
    <row r="92" spans="1:13" x14ac:dyDescent="0.25">
      <c r="A92" t="s">
        <v>1347</v>
      </c>
      <c r="B92" t="s">
        <v>777</v>
      </c>
      <c r="C92" s="8" t="s">
        <v>48</v>
      </c>
      <c r="D92" s="8" t="str">
        <f>_xlfn.XLOOKUP(Tabla2[[#This Row],[ClienteID]],Clientes!A:A,Clientes!G:G,"No encontrado",0)</f>
        <v>AG08</v>
      </c>
      <c r="E92" s="9">
        <v>45823</v>
      </c>
      <c r="F92" s="10">
        <v>4.805185258027167E-2</v>
      </c>
      <c r="G92" s="10">
        <f t="shared" si="4"/>
        <v>3.9187468148764726E-3</v>
      </c>
      <c r="H92" s="8">
        <v>6</v>
      </c>
      <c r="I92" s="11">
        <v>30193</v>
      </c>
      <c r="J92" s="9">
        <f t="shared" si="5"/>
        <v>46006</v>
      </c>
      <c r="K92" s="11">
        <f t="shared" ca="1" si="6"/>
        <v>30909.903698629998</v>
      </c>
      <c r="L92" s="11">
        <f ca="1">Tabla2[[#This Row],[SaldoActual]]-Tabla2[[#This Row],[MontoDepositado]]</f>
        <v>716.90369862999796</v>
      </c>
      <c r="M92" s="7" t="str">
        <f t="shared" ca="1" si="7"/>
        <v>Vencido</v>
      </c>
    </row>
    <row r="93" spans="1:13" x14ac:dyDescent="0.25">
      <c r="A93" t="s">
        <v>1348</v>
      </c>
      <c r="B93" t="s">
        <v>386</v>
      </c>
      <c r="C93" s="8" t="s">
        <v>50</v>
      </c>
      <c r="D93" s="8" t="str">
        <f>_xlfn.XLOOKUP(Tabla2[[#This Row],[ClienteID]],Clientes!A:A,Clientes!G:G,"No encontrado",0)</f>
        <v>AG05</v>
      </c>
      <c r="E93" s="9">
        <v>45867</v>
      </c>
      <c r="F93" s="10">
        <v>5.987747242469646E-2</v>
      </c>
      <c r="G93" s="10">
        <f t="shared" si="4"/>
        <v>4.8578704939574724E-3</v>
      </c>
      <c r="H93" s="8">
        <v>12</v>
      </c>
      <c r="I93" s="11">
        <v>4763</v>
      </c>
      <c r="J93" s="9">
        <f t="shared" si="5"/>
        <v>46232</v>
      </c>
      <c r="K93" s="11">
        <f t="shared" ca="1" si="6"/>
        <v>5048.1964011588261</v>
      </c>
      <c r="L93" s="11">
        <f ca="1">Tabla2[[#This Row],[SaldoActual]]-Tabla2[[#This Row],[MontoDepositado]]</f>
        <v>285.19640115882612</v>
      </c>
      <c r="M93" s="7" t="str">
        <f t="shared" ca="1" si="7"/>
        <v>Vencido</v>
      </c>
    </row>
    <row r="94" spans="1:13" x14ac:dyDescent="0.25">
      <c r="A94" t="s">
        <v>1349</v>
      </c>
      <c r="B94" t="s">
        <v>116</v>
      </c>
      <c r="C94" s="8" t="s">
        <v>50</v>
      </c>
      <c r="D94" s="8" t="str">
        <f>_xlfn.XLOOKUP(Tabla2[[#This Row],[ClienteID]],Clientes!A:A,Clientes!G:G,"No encontrado",0)</f>
        <v>AG06</v>
      </c>
      <c r="E94" s="9">
        <v>45955</v>
      </c>
      <c r="F94" s="10">
        <v>5.7449770250006575E-2</v>
      </c>
      <c r="G94" s="10">
        <f t="shared" si="4"/>
        <v>4.665862414102051E-3</v>
      </c>
      <c r="H94" s="8">
        <v>12</v>
      </c>
      <c r="I94" s="11">
        <v>862</v>
      </c>
      <c r="J94" s="9">
        <f t="shared" si="5"/>
        <v>46320</v>
      </c>
      <c r="K94" s="11">
        <f t="shared" ca="1" si="6"/>
        <v>898.88074240264814</v>
      </c>
      <c r="L94" s="11">
        <f ca="1">Tabla2[[#This Row],[SaldoActual]]-Tabla2[[#This Row],[MontoDepositado]]</f>
        <v>36.880742402648139</v>
      </c>
      <c r="M94" s="7" t="str">
        <f t="shared" ca="1" si="7"/>
        <v>Vigente</v>
      </c>
    </row>
    <row r="95" spans="1:13" x14ac:dyDescent="0.25">
      <c r="A95" t="s">
        <v>1350</v>
      </c>
      <c r="B95" t="s">
        <v>133</v>
      </c>
      <c r="C95" s="8" t="s">
        <v>50</v>
      </c>
      <c r="D95" s="8" t="str">
        <f>_xlfn.XLOOKUP(Tabla2[[#This Row],[ClienteID]],Clientes!A:A,Clientes!G:G,"No encontrado",0)</f>
        <v>AG01</v>
      </c>
      <c r="E95" s="9">
        <v>46234</v>
      </c>
      <c r="F95" s="10">
        <v>5.6875666005110626E-2</v>
      </c>
      <c r="G95" s="10">
        <f t="shared" si="4"/>
        <v>4.6203971725953252E-3</v>
      </c>
      <c r="H95" s="8">
        <v>12</v>
      </c>
      <c r="I95" s="11">
        <v>39372</v>
      </c>
      <c r="J95" s="9">
        <f t="shared" si="5"/>
        <v>46599</v>
      </c>
      <c r="K95" s="11">
        <f t="shared" ca="1" si="6"/>
        <v>39372</v>
      </c>
      <c r="L95" s="11">
        <f ca="1">Tabla2[[#This Row],[SaldoActual]]-Tabla2[[#This Row],[MontoDepositado]]</f>
        <v>0</v>
      </c>
      <c r="M95" s="7" t="str">
        <f t="shared" ca="1" si="7"/>
        <v>Vigente</v>
      </c>
    </row>
    <row r="96" spans="1:13" x14ac:dyDescent="0.25">
      <c r="A96" t="s">
        <v>1351</v>
      </c>
      <c r="B96" t="s">
        <v>263</v>
      </c>
      <c r="C96" s="8" t="s">
        <v>46</v>
      </c>
      <c r="D96" s="8" t="str">
        <f>_xlfn.XLOOKUP(Tabla2[[#This Row],[ClienteID]],Clientes!A:A,Clientes!G:G,"No encontrado",0)</f>
        <v>AG07</v>
      </c>
      <c r="E96" s="9">
        <v>44799</v>
      </c>
      <c r="F96" s="10">
        <v>3.1776779950336141E-2</v>
      </c>
      <c r="G96" s="10">
        <f t="shared" si="4"/>
        <v>2.6102629166555591E-3</v>
      </c>
      <c r="H96" s="8">
        <v>3</v>
      </c>
      <c r="I96" s="11">
        <v>10363</v>
      </c>
      <c r="J96" s="9">
        <f t="shared" si="5"/>
        <v>44891</v>
      </c>
      <c r="K96" s="11">
        <f t="shared" ca="1" si="6"/>
        <v>10444.362472167757</v>
      </c>
      <c r="L96" s="11">
        <f ca="1">Tabla2[[#This Row],[SaldoActual]]-Tabla2[[#This Row],[MontoDepositado]]</f>
        <v>81.362472167757005</v>
      </c>
      <c r="M96" s="7" t="str">
        <f t="shared" ca="1" si="7"/>
        <v>Vencido</v>
      </c>
    </row>
    <row r="97" spans="1:13" x14ac:dyDescent="0.25">
      <c r="A97" t="s">
        <v>1352</v>
      </c>
      <c r="B97" t="s">
        <v>576</v>
      </c>
      <c r="C97" s="8" t="s">
        <v>50</v>
      </c>
      <c r="D97" s="8" t="str">
        <f>_xlfn.XLOOKUP(Tabla2[[#This Row],[ClienteID]],Clientes!A:A,Clientes!G:G,"No encontrado",0)</f>
        <v>AG06</v>
      </c>
      <c r="E97" s="9">
        <v>45665</v>
      </c>
      <c r="F97" s="10">
        <v>6.1594567608570343E-2</v>
      </c>
      <c r="G97" s="10">
        <f t="shared" si="4"/>
        <v>4.9934330764835888E-3</v>
      </c>
      <c r="H97" s="8">
        <v>12</v>
      </c>
      <c r="I97" s="11">
        <v>36746</v>
      </c>
      <c r="J97" s="9">
        <f t="shared" si="5"/>
        <v>46030</v>
      </c>
      <c r="K97" s="11">
        <f t="shared" ca="1" si="6"/>
        <v>39009.353981344502</v>
      </c>
      <c r="L97" s="11">
        <f ca="1">Tabla2[[#This Row],[SaldoActual]]-Tabla2[[#This Row],[MontoDepositado]]</f>
        <v>2263.3539813445022</v>
      </c>
      <c r="M97" s="7" t="str">
        <f t="shared" ca="1" si="7"/>
        <v>Vencido</v>
      </c>
    </row>
    <row r="98" spans="1:13" x14ac:dyDescent="0.25">
      <c r="A98" t="s">
        <v>1353</v>
      </c>
      <c r="B98" t="s">
        <v>310</v>
      </c>
      <c r="C98" s="8" t="s">
        <v>50</v>
      </c>
      <c r="D98" s="8" t="str">
        <f>_xlfn.XLOOKUP(Tabla2[[#This Row],[ClienteID]],Clientes!A:A,Clientes!G:G,"No encontrado",0)</f>
        <v>AG06</v>
      </c>
      <c r="E98" s="9">
        <v>46178</v>
      </c>
      <c r="F98" s="10">
        <v>5.7999265137892914E-2</v>
      </c>
      <c r="G98" s="10">
        <f t="shared" si="4"/>
        <v>4.7093575703476276E-3</v>
      </c>
      <c r="H98" s="8">
        <v>12</v>
      </c>
      <c r="I98" s="11">
        <v>10184</v>
      </c>
      <c r="J98" s="9">
        <f t="shared" si="5"/>
        <v>46543</v>
      </c>
      <c r="K98" s="11">
        <f t="shared" ca="1" si="6"/>
        <v>10280.146056241059</v>
      </c>
      <c r="L98" s="11">
        <f ca="1">Tabla2[[#This Row],[SaldoActual]]-Tabla2[[#This Row],[MontoDepositado]]</f>
        <v>96.146056241059341</v>
      </c>
      <c r="M98" s="7" t="str">
        <f t="shared" ca="1" si="7"/>
        <v>Vigente</v>
      </c>
    </row>
    <row r="99" spans="1:13" x14ac:dyDescent="0.25">
      <c r="A99" t="s">
        <v>1354</v>
      </c>
      <c r="B99" t="s">
        <v>294</v>
      </c>
      <c r="C99" s="8" t="s">
        <v>45</v>
      </c>
      <c r="D99" s="8" t="str">
        <f>_xlfn.XLOOKUP(Tabla2[[#This Row],[ClienteID]],Clientes!A:A,Clientes!G:G,"No encontrado",0)</f>
        <v>AG01</v>
      </c>
      <c r="E99" s="9">
        <v>45675</v>
      </c>
      <c r="F99" s="10">
        <v>1.0272746723225333E-2</v>
      </c>
      <c r="G99" s="10">
        <f t="shared" si="4"/>
        <v>8.5205785004438539E-4</v>
      </c>
      <c r="H99" s="8"/>
      <c r="I99" s="11">
        <v>21815</v>
      </c>
      <c r="J99" s="9" t="str">
        <f t="shared" si="5"/>
        <v/>
      </c>
      <c r="K99" s="11">
        <f t="shared" ca="1" si="6"/>
        <v>22152.011778081971</v>
      </c>
      <c r="L99" s="11">
        <f ca="1">Tabla2[[#This Row],[SaldoActual]]-Tabla2[[#This Row],[MontoDepositado]]</f>
        <v>337.01177808197099</v>
      </c>
      <c r="M99" s="7" t="str">
        <f t="shared" ca="1" si="7"/>
        <v>Vigente</v>
      </c>
    </row>
    <row r="100" spans="1:13" x14ac:dyDescent="0.25">
      <c r="A100" t="s">
        <v>1355</v>
      </c>
      <c r="B100" t="s">
        <v>573</v>
      </c>
      <c r="C100" s="8" t="s">
        <v>46</v>
      </c>
      <c r="D100" s="8" t="str">
        <f>_xlfn.XLOOKUP(Tabla2[[#This Row],[ClienteID]],Clientes!A:A,Clientes!G:G,"No encontrado",0)</f>
        <v>AG04</v>
      </c>
      <c r="E100" s="9">
        <v>46167</v>
      </c>
      <c r="F100" s="10">
        <v>3.346367985049313E-2</v>
      </c>
      <c r="G100" s="10">
        <f t="shared" si="4"/>
        <v>2.7467618448990816E-3</v>
      </c>
      <c r="H100" s="8">
        <v>3</v>
      </c>
      <c r="I100" s="11">
        <v>24816</v>
      </c>
      <c r="J100" s="9">
        <f t="shared" si="5"/>
        <v>46259</v>
      </c>
      <c r="K100" s="11">
        <f t="shared" ca="1" si="6"/>
        <v>24952.514513176931</v>
      </c>
      <c r="L100" s="11">
        <f ca="1">Tabla2[[#This Row],[SaldoActual]]-Tabla2[[#This Row],[MontoDepositado]]</f>
        <v>136.51451317693136</v>
      </c>
      <c r="M100" s="7" t="str">
        <f t="shared" ca="1" si="7"/>
        <v>Vigente</v>
      </c>
    </row>
    <row r="101" spans="1:13" x14ac:dyDescent="0.25">
      <c r="A101" t="s">
        <v>1356</v>
      </c>
      <c r="B101" t="s">
        <v>564</v>
      </c>
      <c r="C101" s="8" t="s">
        <v>48</v>
      </c>
      <c r="D101" s="8" t="str">
        <f>_xlfn.XLOOKUP(Tabla2[[#This Row],[ClienteID]],Clientes!A:A,Clientes!G:G,"No encontrado",0)</f>
        <v>AG03</v>
      </c>
      <c r="E101" s="9">
        <v>46165</v>
      </c>
      <c r="F101" s="10">
        <v>4.9466703575784775E-2</v>
      </c>
      <c r="G101" s="10">
        <f t="shared" si="4"/>
        <v>4.0316163367293267E-3</v>
      </c>
      <c r="H101" s="8">
        <v>6</v>
      </c>
      <c r="I101" s="11">
        <v>39046</v>
      </c>
      <c r="J101" s="9">
        <f t="shared" si="5"/>
        <v>46349</v>
      </c>
      <c r="K101" s="11">
        <f t="shared" ca="1" si="6"/>
        <v>39361.471633929839</v>
      </c>
      <c r="L101" s="11">
        <f ca="1">Tabla2[[#This Row],[SaldoActual]]-Tabla2[[#This Row],[MontoDepositado]]</f>
        <v>315.4716339298393</v>
      </c>
      <c r="M101" s="7" t="str">
        <f t="shared" ca="1" si="7"/>
        <v>Vigente</v>
      </c>
    </row>
    <row r="102" spans="1:13" x14ac:dyDescent="0.25">
      <c r="A102" t="s">
        <v>1357</v>
      </c>
      <c r="B102" t="s">
        <v>195</v>
      </c>
      <c r="C102" s="8" t="s">
        <v>52</v>
      </c>
      <c r="D102" s="8" t="str">
        <f>_xlfn.XLOOKUP(Tabla2[[#This Row],[ClienteID]],Clientes!A:A,Clientes!G:G,"No encontrado",0)</f>
        <v>AG03</v>
      </c>
      <c r="E102" s="9">
        <v>46101</v>
      </c>
      <c r="F102" s="10">
        <v>4.4442338132743772E-2</v>
      </c>
      <c r="G102" s="10">
        <f t="shared" si="4"/>
        <v>3.6301644152727519E-3</v>
      </c>
      <c r="H102" s="8">
        <v>6</v>
      </c>
      <c r="I102" s="11">
        <v>3863</v>
      </c>
      <c r="J102" s="9">
        <f t="shared" si="5"/>
        <v>46285</v>
      </c>
      <c r="K102" s="11">
        <f t="shared" ca="1" si="6"/>
        <v>3919.39948227378</v>
      </c>
      <c r="L102" s="11">
        <f ca="1">Tabla2[[#This Row],[SaldoActual]]-Tabla2[[#This Row],[MontoDepositado]]</f>
        <v>56.399482273779995</v>
      </c>
      <c r="M102" s="7" t="str">
        <f t="shared" ca="1" si="7"/>
        <v>Vigente</v>
      </c>
    </row>
    <row r="103" spans="1:13" x14ac:dyDescent="0.25">
      <c r="A103" t="s">
        <v>1358</v>
      </c>
      <c r="B103" t="s">
        <v>186</v>
      </c>
      <c r="C103" s="8" t="s">
        <v>50</v>
      </c>
      <c r="D103" s="8" t="str">
        <f>_xlfn.XLOOKUP(Tabla2[[#This Row],[ClienteID]],Clientes!A:A,Clientes!G:G,"No encontrado",0)</f>
        <v>AG06</v>
      </c>
      <c r="E103" s="9">
        <v>46222</v>
      </c>
      <c r="F103" s="10">
        <v>6.5979694671544492E-2</v>
      </c>
      <c r="G103" s="10">
        <f t="shared" si="4"/>
        <v>5.338723583240057E-3</v>
      </c>
      <c r="H103" s="8">
        <v>12</v>
      </c>
      <c r="I103" s="11">
        <v>24563</v>
      </c>
      <c r="J103" s="9">
        <f t="shared" si="5"/>
        <v>46587</v>
      </c>
      <c r="K103" s="11">
        <f t="shared" ca="1" si="6"/>
        <v>24563</v>
      </c>
      <c r="L103" s="11">
        <f ca="1">Tabla2[[#This Row],[SaldoActual]]-Tabla2[[#This Row],[MontoDepositado]]</f>
        <v>0</v>
      </c>
      <c r="M103" s="7" t="str">
        <f t="shared" ca="1" si="7"/>
        <v>Vigente</v>
      </c>
    </row>
    <row r="104" spans="1:13" x14ac:dyDescent="0.25">
      <c r="A104" t="s">
        <v>1359</v>
      </c>
      <c r="B104" t="s">
        <v>666</v>
      </c>
      <c r="C104" s="8" t="s">
        <v>48</v>
      </c>
      <c r="D104" s="8" t="str">
        <f>_xlfn.XLOOKUP(Tabla2[[#This Row],[ClienteID]],Clientes!A:A,Clientes!G:G,"No encontrado",0)</f>
        <v>AG03</v>
      </c>
      <c r="E104" s="9">
        <v>46224</v>
      </c>
      <c r="F104" s="10">
        <v>4.3249804808793438E-2</v>
      </c>
      <c r="G104" s="10">
        <f t="shared" si="4"/>
        <v>3.5346198702852494E-3</v>
      </c>
      <c r="H104" s="8">
        <v>6</v>
      </c>
      <c r="I104" s="11">
        <v>33291</v>
      </c>
      <c r="J104" s="9">
        <f t="shared" si="5"/>
        <v>46408</v>
      </c>
      <c r="K104" s="11">
        <f t="shared" ca="1" si="6"/>
        <v>33291</v>
      </c>
      <c r="L104" s="11">
        <f ca="1">Tabla2[[#This Row],[SaldoActual]]-Tabla2[[#This Row],[MontoDepositado]]</f>
        <v>0</v>
      </c>
      <c r="M104" s="7" t="str">
        <f t="shared" ca="1" si="7"/>
        <v>Vigente</v>
      </c>
    </row>
    <row r="105" spans="1:13" x14ac:dyDescent="0.25">
      <c r="A105" t="s">
        <v>1360</v>
      </c>
      <c r="B105" t="s">
        <v>198</v>
      </c>
      <c r="C105" s="8" t="s">
        <v>48</v>
      </c>
      <c r="D105" s="8" t="str">
        <f>_xlfn.XLOOKUP(Tabla2[[#This Row],[ClienteID]],Clientes!A:A,Clientes!G:G,"No encontrado",0)</f>
        <v>AG05</v>
      </c>
      <c r="E105" s="9">
        <v>45754</v>
      </c>
      <c r="F105" s="10">
        <v>4.9058956473962446E-2</v>
      </c>
      <c r="G105" s="10">
        <f t="shared" si="4"/>
        <v>3.9991026879062641E-3</v>
      </c>
      <c r="H105" s="8">
        <v>6</v>
      </c>
      <c r="I105" s="11">
        <v>26764</v>
      </c>
      <c r="J105" s="9">
        <f t="shared" si="5"/>
        <v>45937</v>
      </c>
      <c r="K105" s="11">
        <f t="shared" ca="1" si="6"/>
        <v>27412.64672219475</v>
      </c>
      <c r="L105" s="11">
        <f ca="1">Tabla2[[#This Row],[SaldoActual]]-Tabla2[[#This Row],[MontoDepositado]]</f>
        <v>648.6467221947496</v>
      </c>
      <c r="M105" s="7" t="str">
        <f t="shared" ca="1" si="7"/>
        <v>Vencido</v>
      </c>
    </row>
    <row r="106" spans="1:13" x14ac:dyDescent="0.25">
      <c r="A106" t="s">
        <v>1361</v>
      </c>
      <c r="B106" t="s">
        <v>137</v>
      </c>
      <c r="C106" s="8" t="s">
        <v>48</v>
      </c>
      <c r="D106" s="8" t="str">
        <f>_xlfn.XLOOKUP(Tabla2[[#This Row],[ClienteID]],Clientes!A:A,Clientes!G:G,"No encontrado",0)</f>
        <v>AG07</v>
      </c>
      <c r="E106" s="9">
        <v>46105</v>
      </c>
      <c r="F106" s="10">
        <v>4.8070990128195872E-2</v>
      </c>
      <c r="G106" s="10">
        <f t="shared" si="4"/>
        <v>3.9202744414508217E-3</v>
      </c>
      <c r="H106" s="8">
        <v>6</v>
      </c>
      <c r="I106" s="11">
        <v>37482</v>
      </c>
      <c r="J106" s="9">
        <f t="shared" si="5"/>
        <v>46289</v>
      </c>
      <c r="K106" s="11">
        <f t="shared" ca="1" si="6"/>
        <v>38073.224212642031</v>
      </c>
      <c r="L106" s="11">
        <f ca="1">Tabla2[[#This Row],[SaldoActual]]-Tabla2[[#This Row],[MontoDepositado]]</f>
        <v>591.22421264203149</v>
      </c>
      <c r="M106" s="7" t="str">
        <f t="shared" ca="1" si="7"/>
        <v>Vigente</v>
      </c>
    </row>
    <row r="107" spans="1:13" x14ac:dyDescent="0.25">
      <c r="A107" t="s">
        <v>1362</v>
      </c>
      <c r="B107" t="s">
        <v>636</v>
      </c>
      <c r="C107" s="8" t="s">
        <v>50</v>
      </c>
      <c r="D107" s="8" t="str">
        <f>_xlfn.XLOOKUP(Tabla2[[#This Row],[ClienteID]],Clientes!A:A,Clientes!G:G,"No encontrado",0)</f>
        <v>AG07</v>
      </c>
      <c r="E107" s="9">
        <v>45974</v>
      </c>
      <c r="F107" s="10">
        <v>6.7583283422623874E-2</v>
      </c>
      <c r="G107" s="10">
        <f t="shared" si="4"/>
        <v>5.4646671470530706E-3</v>
      </c>
      <c r="H107" s="8">
        <v>12</v>
      </c>
      <c r="I107" s="11">
        <v>11423</v>
      </c>
      <c r="J107" s="9">
        <f t="shared" si="5"/>
        <v>46339</v>
      </c>
      <c r="K107" s="11">
        <f t="shared" ca="1" si="6"/>
        <v>11932.039618156976</v>
      </c>
      <c r="L107" s="11">
        <f ca="1">Tabla2[[#This Row],[SaldoActual]]-Tabla2[[#This Row],[MontoDepositado]]</f>
        <v>509.03961815697585</v>
      </c>
      <c r="M107" s="7" t="str">
        <f t="shared" ca="1" si="7"/>
        <v>Vigente</v>
      </c>
    </row>
    <row r="108" spans="1:13" x14ac:dyDescent="0.25">
      <c r="A108" t="s">
        <v>1363</v>
      </c>
      <c r="B108" t="s">
        <v>242</v>
      </c>
      <c r="C108" s="8" t="s">
        <v>50</v>
      </c>
      <c r="D108" s="8" t="str">
        <f>_xlfn.XLOOKUP(Tabla2[[#This Row],[ClienteID]],Clientes!A:A,Clientes!G:G,"No encontrado",0)</f>
        <v>AG06</v>
      </c>
      <c r="E108" s="9">
        <v>45591</v>
      </c>
      <c r="F108" s="10">
        <v>5.7098504275901775E-2</v>
      </c>
      <c r="G108" s="10">
        <f t="shared" si="4"/>
        <v>4.638047170612225E-3</v>
      </c>
      <c r="H108" s="8">
        <v>12</v>
      </c>
      <c r="I108" s="11">
        <v>28436</v>
      </c>
      <c r="J108" s="9">
        <f t="shared" si="5"/>
        <v>45956</v>
      </c>
      <c r="K108" s="11">
        <f t="shared" ca="1" si="6"/>
        <v>30059.65306758957</v>
      </c>
      <c r="L108" s="11">
        <f ca="1">Tabla2[[#This Row],[SaldoActual]]-Tabla2[[#This Row],[MontoDepositado]]</f>
        <v>1623.6530675895701</v>
      </c>
      <c r="M108" s="7" t="str">
        <f t="shared" ca="1" si="7"/>
        <v>Vencido</v>
      </c>
    </row>
    <row r="109" spans="1:13" x14ac:dyDescent="0.25">
      <c r="A109" t="s">
        <v>1364</v>
      </c>
      <c r="B109" t="s">
        <v>73</v>
      </c>
      <c r="C109" s="8" t="s">
        <v>45</v>
      </c>
      <c r="D109" s="8" t="str">
        <f>_xlfn.XLOOKUP(Tabla2[[#This Row],[ClienteID]],Clientes!A:A,Clientes!G:G,"No encontrado",0)</f>
        <v>AG01</v>
      </c>
      <c r="E109" s="9">
        <v>45856</v>
      </c>
      <c r="F109" s="10">
        <v>8.9789968833867799E-3</v>
      </c>
      <c r="G109" s="10">
        <f t="shared" si="4"/>
        <v>7.4518796303979506E-4</v>
      </c>
      <c r="H109" s="8"/>
      <c r="I109" s="11">
        <v>12881</v>
      </c>
      <c r="J109" s="9" t="str">
        <f t="shared" si="5"/>
        <v/>
      </c>
      <c r="K109" s="11">
        <f t="shared" ca="1" si="6"/>
        <v>12996.658458854901</v>
      </c>
      <c r="L109" s="11">
        <f ca="1">Tabla2[[#This Row],[SaldoActual]]-Tabla2[[#This Row],[MontoDepositado]]</f>
        <v>115.65845885490126</v>
      </c>
      <c r="M109" s="7" t="str">
        <f t="shared" ca="1" si="7"/>
        <v>Vigente</v>
      </c>
    </row>
    <row r="110" spans="1:13" x14ac:dyDescent="0.25">
      <c r="A110" t="s">
        <v>1365</v>
      </c>
      <c r="B110" t="s">
        <v>141</v>
      </c>
      <c r="C110" s="8" t="s">
        <v>52</v>
      </c>
      <c r="D110" s="8" t="str">
        <f>_xlfn.XLOOKUP(Tabla2[[#This Row],[ClienteID]],Clientes!A:A,Clientes!G:G,"No encontrado",0)</f>
        <v>AG08</v>
      </c>
      <c r="E110" s="9">
        <v>44983</v>
      </c>
      <c r="F110" s="10">
        <v>3.8180981581186109E-2</v>
      </c>
      <c r="G110" s="10">
        <f t="shared" si="4"/>
        <v>3.1273905802771118E-3</v>
      </c>
      <c r="H110" s="8">
        <v>6</v>
      </c>
      <c r="I110" s="11">
        <v>8994</v>
      </c>
      <c r="J110" s="9">
        <f t="shared" si="5"/>
        <v>45164</v>
      </c>
      <c r="K110" s="11">
        <f t="shared" ca="1" si="6"/>
        <v>9164.0915172525729</v>
      </c>
      <c r="L110" s="11">
        <f ca="1">Tabla2[[#This Row],[SaldoActual]]-Tabla2[[#This Row],[MontoDepositado]]</f>
        <v>170.09151725257288</v>
      </c>
      <c r="M110" s="7" t="str">
        <f t="shared" ca="1" si="7"/>
        <v>Vencido</v>
      </c>
    </row>
    <row r="111" spans="1:13" x14ac:dyDescent="0.25">
      <c r="A111" t="s">
        <v>1366</v>
      </c>
      <c r="B111" t="s">
        <v>585</v>
      </c>
      <c r="C111" s="8" t="s">
        <v>48</v>
      </c>
      <c r="D111" s="8" t="str">
        <f>_xlfn.XLOOKUP(Tabla2[[#This Row],[ClienteID]],Clientes!A:A,Clientes!G:G,"No encontrado",0)</f>
        <v>AG08</v>
      </c>
      <c r="E111" s="9">
        <v>45420</v>
      </c>
      <c r="F111" s="10">
        <v>4.3852789545011914E-2</v>
      </c>
      <c r="G111" s="10">
        <f t="shared" si="4"/>
        <v>3.5829428935862939E-3</v>
      </c>
      <c r="H111" s="8">
        <v>6</v>
      </c>
      <c r="I111" s="11">
        <v>26527</v>
      </c>
      <c r="J111" s="9">
        <f t="shared" si="5"/>
        <v>45604</v>
      </c>
      <c r="K111" s="11">
        <f t="shared" ca="1" si="6"/>
        <v>27102.40092258446</v>
      </c>
      <c r="L111" s="11">
        <f ca="1">Tabla2[[#This Row],[SaldoActual]]-Tabla2[[#This Row],[MontoDepositado]]</f>
        <v>575.4009225844602</v>
      </c>
      <c r="M111" s="7" t="str">
        <f t="shared" ca="1" si="7"/>
        <v>Vencido</v>
      </c>
    </row>
    <row r="112" spans="1:13" x14ac:dyDescent="0.25">
      <c r="A112" t="s">
        <v>1367</v>
      </c>
      <c r="B112" t="s">
        <v>783</v>
      </c>
      <c r="C112" s="8" t="s">
        <v>50</v>
      </c>
      <c r="D112" s="8" t="str">
        <f>_xlfn.XLOOKUP(Tabla2[[#This Row],[ClienteID]],Clientes!A:A,Clientes!G:G,"No encontrado",0)</f>
        <v>AG02</v>
      </c>
      <c r="E112" s="9">
        <v>45600</v>
      </c>
      <c r="F112" s="10">
        <v>6.7970050405162588E-2</v>
      </c>
      <c r="G112" s="10">
        <f t="shared" si="4"/>
        <v>5.4950173145908998E-3</v>
      </c>
      <c r="H112" s="8">
        <v>12</v>
      </c>
      <c r="I112" s="11">
        <v>21084</v>
      </c>
      <c r="J112" s="9">
        <f t="shared" si="5"/>
        <v>45965</v>
      </c>
      <c r="K112" s="11">
        <f t="shared" ca="1" si="6"/>
        <v>22517.08054274246</v>
      </c>
      <c r="L112" s="11">
        <f ca="1">Tabla2[[#This Row],[SaldoActual]]-Tabla2[[#This Row],[MontoDepositado]]</f>
        <v>1433.0805427424602</v>
      </c>
      <c r="M112" s="7" t="str">
        <f t="shared" ca="1" si="7"/>
        <v>Vencido</v>
      </c>
    </row>
    <row r="113" spans="1:13" x14ac:dyDescent="0.25">
      <c r="A113" t="s">
        <v>1368</v>
      </c>
      <c r="B113" t="s">
        <v>642</v>
      </c>
      <c r="C113" s="8" t="s">
        <v>52</v>
      </c>
      <c r="D113" s="8" t="str">
        <f>_xlfn.XLOOKUP(Tabla2[[#This Row],[ClienteID]],Clientes!A:A,Clientes!G:G,"No encontrado",0)</f>
        <v>AG01</v>
      </c>
      <c r="E113" s="9">
        <v>45794</v>
      </c>
      <c r="F113" s="10">
        <v>4.4912067449050352E-2</v>
      </c>
      <c r="G113" s="10">
        <f t="shared" si="4"/>
        <v>3.667771195472902E-3</v>
      </c>
      <c r="H113" s="8">
        <v>6</v>
      </c>
      <c r="I113" s="11">
        <v>23865</v>
      </c>
      <c r="J113" s="9">
        <f t="shared" si="5"/>
        <v>45978</v>
      </c>
      <c r="K113" s="11">
        <f t="shared" ca="1" si="6"/>
        <v>24395.027447740504</v>
      </c>
      <c r="L113" s="11">
        <f ca="1">Tabla2[[#This Row],[SaldoActual]]-Tabla2[[#This Row],[MontoDepositado]]</f>
        <v>530.0274477405037</v>
      </c>
      <c r="M113" s="7" t="str">
        <f t="shared" ca="1" si="7"/>
        <v>Vencido</v>
      </c>
    </row>
    <row r="114" spans="1:13" x14ac:dyDescent="0.25">
      <c r="A114" t="s">
        <v>1369</v>
      </c>
      <c r="B114" t="s">
        <v>717</v>
      </c>
      <c r="C114" s="8" t="s">
        <v>48</v>
      </c>
      <c r="D114" s="8" t="str">
        <f>_xlfn.XLOOKUP(Tabla2[[#This Row],[ClienteID]],Clientes!A:A,Clientes!G:G,"No encontrado",0)</f>
        <v>AG08</v>
      </c>
      <c r="E114" s="9">
        <v>46199</v>
      </c>
      <c r="F114" s="10">
        <v>4.2880242701978093E-2</v>
      </c>
      <c r="G114" s="10">
        <f t="shared" si="4"/>
        <v>3.5049906134907438E-3</v>
      </c>
      <c r="H114" s="8">
        <v>6</v>
      </c>
      <c r="I114" s="11">
        <v>45046</v>
      </c>
      <c r="J114" s="9">
        <f t="shared" si="5"/>
        <v>46382</v>
      </c>
      <c r="K114" s="11">
        <f t="shared" ca="1" si="6"/>
        <v>45203.885807175306</v>
      </c>
      <c r="L114" s="11">
        <f ca="1">Tabla2[[#This Row],[SaldoActual]]-Tabla2[[#This Row],[MontoDepositado]]</f>
        <v>157.88580717530567</v>
      </c>
      <c r="M114" s="7" t="str">
        <f t="shared" ca="1" si="7"/>
        <v>Vigente</v>
      </c>
    </row>
    <row r="115" spans="1:13" x14ac:dyDescent="0.25">
      <c r="A115" t="s">
        <v>1370</v>
      </c>
      <c r="B115" t="s">
        <v>579</v>
      </c>
      <c r="C115" s="8" t="s">
        <v>50</v>
      </c>
      <c r="D115" s="8" t="str">
        <f>_xlfn.XLOOKUP(Tabla2[[#This Row],[ClienteID]],Clientes!A:A,Clientes!G:G,"No encontrado",0)</f>
        <v>AG07</v>
      </c>
      <c r="E115" s="9">
        <v>46062</v>
      </c>
      <c r="F115" s="10">
        <v>5.692470293318215E-2</v>
      </c>
      <c r="G115" s="10">
        <f t="shared" si="4"/>
        <v>4.624281455624546E-3</v>
      </c>
      <c r="H115" s="8">
        <v>12</v>
      </c>
      <c r="I115" s="11">
        <v>26039</v>
      </c>
      <c r="J115" s="9">
        <f t="shared" si="5"/>
        <v>46427</v>
      </c>
      <c r="K115" s="11">
        <f t="shared" ca="1" si="6"/>
        <v>26769.873926913671</v>
      </c>
      <c r="L115" s="11">
        <f ca="1">Tabla2[[#This Row],[SaldoActual]]-Tabla2[[#This Row],[MontoDepositado]]</f>
        <v>730.87392691367131</v>
      </c>
      <c r="M115" s="7" t="str">
        <f t="shared" ca="1" si="7"/>
        <v>Vigente</v>
      </c>
    </row>
    <row r="116" spans="1:13" x14ac:dyDescent="0.25">
      <c r="A116" t="s">
        <v>1371</v>
      </c>
      <c r="B116" t="s">
        <v>555</v>
      </c>
      <c r="C116" s="8" t="s">
        <v>48</v>
      </c>
      <c r="D116" s="8" t="str">
        <f>_xlfn.XLOOKUP(Tabla2[[#This Row],[ClienteID]],Clientes!A:A,Clientes!G:G,"No encontrado",0)</f>
        <v>AG05</v>
      </c>
      <c r="E116" s="9">
        <v>45517</v>
      </c>
      <c r="F116" s="10">
        <v>4.4797123201788761E-2</v>
      </c>
      <c r="G116" s="10">
        <f t="shared" si="4"/>
        <v>3.6585701298981199E-3</v>
      </c>
      <c r="H116" s="8">
        <v>6</v>
      </c>
      <c r="I116" s="11">
        <v>28005</v>
      </c>
      <c r="J116" s="9">
        <f t="shared" si="5"/>
        <v>45701</v>
      </c>
      <c r="K116" s="11">
        <f t="shared" ca="1" si="6"/>
        <v>28625.399803402324</v>
      </c>
      <c r="L116" s="11">
        <f ca="1">Tabla2[[#This Row],[SaldoActual]]-Tabla2[[#This Row],[MontoDepositado]]</f>
        <v>620.39980340232432</v>
      </c>
      <c r="M116" s="7" t="str">
        <f t="shared" ca="1" si="7"/>
        <v>Vencido</v>
      </c>
    </row>
    <row r="117" spans="1:13" x14ac:dyDescent="0.25">
      <c r="A117" t="s">
        <v>1372</v>
      </c>
      <c r="B117" t="s">
        <v>588</v>
      </c>
      <c r="C117" s="8" t="s">
        <v>48</v>
      </c>
      <c r="D117" s="8" t="str">
        <f>_xlfn.XLOOKUP(Tabla2[[#This Row],[ClienteID]],Clientes!A:A,Clientes!G:G,"No encontrado",0)</f>
        <v>AG08</v>
      </c>
      <c r="E117" s="9">
        <v>46230</v>
      </c>
      <c r="F117" s="10">
        <v>4.9285576266556941E-2</v>
      </c>
      <c r="G117" s="10">
        <f t="shared" si="4"/>
        <v>4.0171747214772235E-3</v>
      </c>
      <c r="H117" s="8">
        <v>6</v>
      </c>
      <c r="I117" s="11">
        <v>537</v>
      </c>
      <c r="J117" s="9">
        <f t="shared" si="5"/>
        <v>46414</v>
      </c>
      <c r="K117" s="11">
        <f t="shared" ca="1" si="6"/>
        <v>537</v>
      </c>
      <c r="L117" s="11">
        <f ca="1">Tabla2[[#This Row],[SaldoActual]]-Tabla2[[#This Row],[MontoDepositado]]</f>
        <v>0</v>
      </c>
      <c r="M117" s="7" t="str">
        <f t="shared" ca="1" si="7"/>
        <v>Vigente</v>
      </c>
    </row>
    <row r="118" spans="1:13" x14ac:dyDescent="0.25">
      <c r="A118" t="s">
        <v>1373</v>
      </c>
      <c r="B118" t="s">
        <v>477</v>
      </c>
      <c r="C118" s="8" t="s">
        <v>46</v>
      </c>
      <c r="D118" s="8" t="str">
        <f>_xlfn.XLOOKUP(Tabla2[[#This Row],[ClienteID]],Clientes!A:A,Clientes!G:G,"No encontrado",0)</f>
        <v>AG04</v>
      </c>
      <c r="E118" s="9">
        <v>45796</v>
      </c>
      <c r="F118" s="10">
        <v>3.0159135436354765E-2</v>
      </c>
      <c r="G118" s="10">
        <f t="shared" si="4"/>
        <v>2.4791756470434745E-3</v>
      </c>
      <c r="H118" s="8">
        <v>3</v>
      </c>
      <c r="I118" s="11">
        <v>10791</v>
      </c>
      <c r="J118" s="9">
        <f t="shared" si="5"/>
        <v>45888</v>
      </c>
      <c r="K118" s="11">
        <f t="shared" ca="1" si="6"/>
        <v>10871.457492207475</v>
      </c>
      <c r="L118" s="11">
        <f ca="1">Tabla2[[#This Row],[SaldoActual]]-Tabla2[[#This Row],[MontoDepositado]]</f>
        <v>80.457492207475298</v>
      </c>
      <c r="M118" s="7" t="str">
        <f t="shared" ca="1" si="7"/>
        <v>Vencido</v>
      </c>
    </row>
    <row r="119" spans="1:13" x14ac:dyDescent="0.25">
      <c r="A119" t="s">
        <v>1374</v>
      </c>
      <c r="B119" t="s">
        <v>407</v>
      </c>
      <c r="C119" s="8" t="s">
        <v>45</v>
      </c>
      <c r="D119" s="8" t="str">
        <f>_xlfn.XLOOKUP(Tabla2[[#This Row],[ClienteID]],Clientes!A:A,Clientes!G:G,"No encontrado",0)</f>
        <v>AG08</v>
      </c>
      <c r="E119" s="9">
        <v>46228</v>
      </c>
      <c r="F119" s="10">
        <v>8.7909513012199396E-3</v>
      </c>
      <c r="G119" s="10">
        <f t="shared" si="4"/>
        <v>7.296440494319878E-4</v>
      </c>
      <c r="H119" s="8"/>
      <c r="I119" s="11">
        <v>3356</v>
      </c>
      <c r="J119" s="9" t="str">
        <f t="shared" si="5"/>
        <v/>
      </c>
      <c r="K119" s="11">
        <f t="shared" ca="1" si="6"/>
        <v>3356</v>
      </c>
      <c r="L119" s="11">
        <f ca="1">Tabla2[[#This Row],[SaldoActual]]-Tabla2[[#This Row],[MontoDepositado]]</f>
        <v>0</v>
      </c>
      <c r="M119" s="7" t="str">
        <f t="shared" ca="1" si="7"/>
        <v>Vigente</v>
      </c>
    </row>
    <row r="120" spans="1:13" x14ac:dyDescent="0.25">
      <c r="A120" t="s">
        <v>1375</v>
      </c>
      <c r="B120" t="s">
        <v>519</v>
      </c>
      <c r="C120" s="8" t="s">
        <v>45</v>
      </c>
      <c r="D120" s="8" t="str">
        <f>_xlfn.XLOOKUP(Tabla2[[#This Row],[ClienteID]],Clientes!A:A,Clientes!G:G,"No encontrado",0)</f>
        <v>AG06</v>
      </c>
      <c r="E120" s="9">
        <v>46179</v>
      </c>
      <c r="F120" s="10">
        <v>1.0083824899793203E-2</v>
      </c>
      <c r="G120" s="10">
        <f t="shared" si="4"/>
        <v>8.3645983419944336E-4</v>
      </c>
      <c r="H120" s="8"/>
      <c r="I120" s="11">
        <v>20476</v>
      </c>
      <c r="J120" s="9" t="str">
        <f t="shared" si="5"/>
        <v/>
      </c>
      <c r="K120" s="11">
        <f t="shared" ca="1" si="6"/>
        <v>20510.269029471787</v>
      </c>
      <c r="L120" s="11">
        <f ca="1">Tabla2[[#This Row],[SaldoActual]]-Tabla2[[#This Row],[MontoDepositado]]</f>
        <v>34.26902947178678</v>
      </c>
      <c r="M120" s="7" t="str">
        <f t="shared" ca="1" si="7"/>
        <v>Vigente</v>
      </c>
    </row>
    <row r="121" spans="1:13" x14ac:dyDescent="0.25">
      <c r="A121" t="s">
        <v>1376</v>
      </c>
      <c r="B121" t="s">
        <v>636</v>
      </c>
      <c r="C121" s="8" t="s">
        <v>45</v>
      </c>
      <c r="D121" s="8" t="str">
        <f>_xlfn.XLOOKUP(Tabla2[[#This Row],[ClienteID]],Clientes!A:A,Clientes!G:G,"No encontrado",0)</f>
        <v>AG07</v>
      </c>
      <c r="E121" s="9">
        <v>46063</v>
      </c>
      <c r="F121" s="10">
        <v>1.0248900870910708E-2</v>
      </c>
      <c r="G121" s="10">
        <f t="shared" si="4"/>
        <v>8.5008920439633151E-4</v>
      </c>
      <c r="H121" s="8"/>
      <c r="I121" s="11">
        <v>26267</v>
      </c>
      <c r="J121" s="9" t="str">
        <f t="shared" si="5"/>
        <v/>
      </c>
      <c r="K121" s="11">
        <f t="shared" ca="1" si="6"/>
        <v>26401.260810088606</v>
      </c>
      <c r="L121" s="11">
        <f ca="1">Tabla2[[#This Row],[SaldoActual]]-Tabla2[[#This Row],[MontoDepositado]]</f>
        <v>134.26081008860638</v>
      </c>
      <c r="M121" s="7" t="str">
        <f t="shared" ca="1" si="7"/>
        <v>Vigente</v>
      </c>
    </row>
    <row r="122" spans="1:13" x14ac:dyDescent="0.25">
      <c r="A122" t="s">
        <v>1377</v>
      </c>
      <c r="B122" t="s">
        <v>486</v>
      </c>
      <c r="C122" s="8" t="s">
        <v>52</v>
      </c>
      <c r="D122" s="8" t="str">
        <f>_xlfn.XLOOKUP(Tabla2[[#This Row],[ClienteID]],Clientes!A:A,Clientes!G:G,"No encontrado",0)</f>
        <v>AG06</v>
      </c>
      <c r="E122" s="9">
        <v>45243</v>
      </c>
      <c r="F122" s="10">
        <v>3.8747455946557978E-2</v>
      </c>
      <c r="G122" s="10">
        <f t="shared" si="4"/>
        <v>3.1729914839611073E-3</v>
      </c>
      <c r="H122" s="8">
        <v>6</v>
      </c>
      <c r="I122" s="11">
        <v>23018</v>
      </c>
      <c r="J122" s="9">
        <f t="shared" si="5"/>
        <v>45425</v>
      </c>
      <c r="K122" s="11">
        <f t="shared" ca="1" si="6"/>
        <v>23459.706384424928</v>
      </c>
      <c r="L122" s="11">
        <f ca="1">Tabla2[[#This Row],[SaldoActual]]-Tabla2[[#This Row],[MontoDepositado]]</f>
        <v>441.70638442492782</v>
      </c>
      <c r="M122" s="7" t="str">
        <f t="shared" ca="1" si="7"/>
        <v>Vencido</v>
      </c>
    </row>
    <row r="123" spans="1:13" x14ac:dyDescent="0.25">
      <c r="A123" t="s">
        <v>1378</v>
      </c>
      <c r="B123" t="s">
        <v>294</v>
      </c>
      <c r="C123" s="8" t="s">
        <v>52</v>
      </c>
      <c r="D123" s="8" t="str">
        <f>_xlfn.XLOOKUP(Tabla2[[#This Row],[ClienteID]],Clientes!A:A,Clientes!G:G,"No encontrado",0)</f>
        <v>AG01</v>
      </c>
      <c r="E123" s="9">
        <v>45742</v>
      </c>
      <c r="F123" s="10">
        <v>3.8681214241063279E-2</v>
      </c>
      <c r="G123" s="10">
        <f t="shared" si="4"/>
        <v>3.167660236871761E-3</v>
      </c>
      <c r="H123" s="8">
        <v>6</v>
      </c>
      <c r="I123" s="11">
        <v>9478</v>
      </c>
      <c r="J123" s="9">
        <f t="shared" si="5"/>
        <v>45926</v>
      </c>
      <c r="K123" s="11">
        <f t="shared" ca="1" si="6"/>
        <v>9659.5710856854766</v>
      </c>
      <c r="L123" s="11">
        <f ca="1">Tabla2[[#This Row],[SaldoActual]]-Tabla2[[#This Row],[MontoDepositado]]</f>
        <v>181.57108568547665</v>
      </c>
      <c r="M123" s="7" t="str">
        <f t="shared" ca="1" si="7"/>
        <v>Vencido</v>
      </c>
    </row>
    <row r="124" spans="1:13" x14ac:dyDescent="0.25">
      <c r="A124" t="s">
        <v>1379</v>
      </c>
      <c r="B124" t="s">
        <v>69</v>
      </c>
      <c r="C124" s="8" t="s">
        <v>46</v>
      </c>
      <c r="D124" s="8" t="str">
        <f>_xlfn.XLOOKUP(Tabla2[[#This Row],[ClienteID]],Clientes!A:A,Clientes!G:G,"No encontrado",0)</f>
        <v>AG01</v>
      </c>
      <c r="E124" s="9">
        <v>45735</v>
      </c>
      <c r="F124" s="10">
        <v>3.1937003137657217E-2</v>
      </c>
      <c r="G124" s="10">
        <f t="shared" si="4"/>
        <v>2.6232364899079208E-3</v>
      </c>
      <c r="H124" s="8">
        <v>3</v>
      </c>
      <c r="I124" s="11">
        <v>32353</v>
      </c>
      <c r="J124" s="9">
        <f t="shared" si="5"/>
        <v>45827</v>
      </c>
      <c r="K124" s="11">
        <f t="shared" ca="1" si="6"/>
        <v>32608.277193352827</v>
      </c>
      <c r="L124" s="11">
        <f ca="1">Tabla2[[#This Row],[SaldoActual]]-Tabla2[[#This Row],[MontoDepositado]]</f>
        <v>255.27719335282745</v>
      </c>
      <c r="M124" s="7" t="str">
        <f t="shared" ca="1" si="7"/>
        <v>Vencido</v>
      </c>
    </row>
    <row r="125" spans="1:13" x14ac:dyDescent="0.25">
      <c r="A125" t="s">
        <v>1380</v>
      </c>
      <c r="B125" t="s">
        <v>774</v>
      </c>
      <c r="C125" s="8" t="s">
        <v>45</v>
      </c>
      <c r="D125" s="8" t="str">
        <f>_xlfn.XLOOKUP(Tabla2[[#This Row],[ClienteID]],Clientes!A:A,Clientes!G:G,"No encontrado",0)</f>
        <v>AG03</v>
      </c>
      <c r="E125" s="9">
        <v>46080</v>
      </c>
      <c r="F125" s="10">
        <v>1.2947067260029668E-2</v>
      </c>
      <c r="G125" s="10">
        <f t="shared" si="4"/>
        <v>1.0725723327440484E-3</v>
      </c>
      <c r="H125" s="8"/>
      <c r="I125" s="11">
        <v>10466</v>
      </c>
      <c r="J125" s="9" t="str">
        <f t="shared" si="5"/>
        <v/>
      </c>
      <c r="K125" s="11">
        <f t="shared" ca="1" si="6"/>
        <v>10522.248241439747</v>
      </c>
      <c r="L125" s="11">
        <f ca="1">Tabla2[[#This Row],[SaldoActual]]-Tabla2[[#This Row],[MontoDepositado]]</f>
        <v>56.248241439747289</v>
      </c>
      <c r="M125" s="7" t="str">
        <f t="shared" ca="1" si="7"/>
        <v>Vigente</v>
      </c>
    </row>
    <row r="126" spans="1:13" x14ac:dyDescent="0.25">
      <c r="A126" t="s">
        <v>1381</v>
      </c>
      <c r="B126" t="s">
        <v>323</v>
      </c>
      <c r="C126" s="8" t="s">
        <v>50</v>
      </c>
      <c r="D126" s="8" t="str">
        <f>_xlfn.XLOOKUP(Tabla2[[#This Row],[ClienteID]],Clientes!A:A,Clientes!G:G,"No encontrado",0)</f>
        <v>AG05</v>
      </c>
      <c r="E126" s="9">
        <v>46042</v>
      </c>
      <c r="F126" s="10">
        <v>6.3219582072532532E-2</v>
      </c>
      <c r="G126" s="10">
        <f t="shared" si="4"/>
        <v>5.121541007712338E-3</v>
      </c>
      <c r="H126" s="8">
        <v>12</v>
      </c>
      <c r="I126" s="11">
        <v>626</v>
      </c>
      <c r="J126" s="9">
        <f t="shared" si="5"/>
        <v>46407</v>
      </c>
      <c r="K126" s="11">
        <f t="shared" ca="1" si="6"/>
        <v>645.48449783419005</v>
      </c>
      <c r="L126" s="11">
        <f ca="1">Tabla2[[#This Row],[SaldoActual]]-Tabla2[[#This Row],[MontoDepositado]]</f>
        <v>19.484497834190051</v>
      </c>
      <c r="M126" s="7" t="str">
        <f t="shared" ca="1" si="7"/>
        <v>Vigente</v>
      </c>
    </row>
    <row r="127" spans="1:13" x14ac:dyDescent="0.25">
      <c r="A127" t="s">
        <v>1382</v>
      </c>
      <c r="B127" t="s">
        <v>564</v>
      </c>
      <c r="C127" s="8" t="s">
        <v>46</v>
      </c>
      <c r="D127" s="8" t="str">
        <f>_xlfn.XLOOKUP(Tabla2[[#This Row],[ClienteID]],Clientes!A:A,Clientes!G:G,"No encontrado",0)</f>
        <v>AG03</v>
      </c>
      <c r="E127" s="9">
        <v>46071</v>
      </c>
      <c r="F127" s="10">
        <v>3.8808244737898179E-2</v>
      </c>
      <c r="G127" s="10">
        <f t="shared" si="4"/>
        <v>3.1778835968696573E-3</v>
      </c>
      <c r="H127" s="8">
        <v>3</v>
      </c>
      <c r="I127" s="11">
        <v>29214</v>
      </c>
      <c r="J127" s="9">
        <f t="shared" si="5"/>
        <v>46160</v>
      </c>
      <c r="K127" s="11">
        <f t="shared" ca="1" si="6"/>
        <v>29493.402103433262</v>
      </c>
      <c r="L127" s="11">
        <f ca="1">Tabla2[[#This Row],[SaldoActual]]-Tabla2[[#This Row],[MontoDepositado]]</f>
        <v>279.4021034332618</v>
      </c>
      <c r="M127" s="7" t="str">
        <f t="shared" ca="1" si="7"/>
        <v>Vencido</v>
      </c>
    </row>
    <row r="128" spans="1:13" x14ac:dyDescent="0.25">
      <c r="A128" t="s">
        <v>1383</v>
      </c>
      <c r="B128" t="s">
        <v>176</v>
      </c>
      <c r="C128" s="8" t="s">
        <v>46</v>
      </c>
      <c r="D128" s="8" t="str">
        <f>_xlfn.XLOOKUP(Tabla2[[#This Row],[ClienteID]],Clientes!A:A,Clientes!G:G,"No encontrado",0)</f>
        <v>AG01</v>
      </c>
      <c r="E128" s="9">
        <v>45375</v>
      </c>
      <c r="F128" s="10">
        <v>3.1551567953882975E-2</v>
      </c>
      <c r="G128" s="10">
        <f t="shared" si="4"/>
        <v>2.5920239544887647E-3</v>
      </c>
      <c r="H128" s="8">
        <v>3</v>
      </c>
      <c r="I128" s="11">
        <v>11473</v>
      </c>
      <c r="J128" s="9">
        <f t="shared" si="5"/>
        <v>45467</v>
      </c>
      <c r="K128" s="11">
        <f t="shared" ca="1" si="6"/>
        <v>11562.446319375469</v>
      </c>
      <c r="L128" s="11">
        <f ca="1">Tabla2[[#This Row],[SaldoActual]]-Tabla2[[#This Row],[MontoDepositado]]</f>
        <v>89.446319375469102</v>
      </c>
      <c r="M128" s="7" t="str">
        <f t="shared" ca="1" si="7"/>
        <v>Vencido</v>
      </c>
    </row>
    <row r="129" spans="1:13" x14ac:dyDescent="0.25">
      <c r="A129" t="s">
        <v>1384</v>
      </c>
      <c r="B129" t="s">
        <v>242</v>
      </c>
      <c r="C129" s="8" t="s">
        <v>48</v>
      </c>
      <c r="D129" s="8" t="str">
        <f>_xlfn.XLOOKUP(Tabla2[[#This Row],[ClienteID]],Clientes!A:A,Clientes!G:G,"No encontrado",0)</f>
        <v>AG06</v>
      </c>
      <c r="E129" s="9">
        <v>45469</v>
      </c>
      <c r="F129" s="10">
        <v>4.3791279648816191E-2</v>
      </c>
      <c r="G129" s="10">
        <f t="shared" si="4"/>
        <v>3.5780146803272572E-3</v>
      </c>
      <c r="H129" s="8">
        <v>6</v>
      </c>
      <c r="I129" s="11">
        <v>33216</v>
      </c>
      <c r="J129" s="9">
        <f t="shared" si="5"/>
        <v>45652</v>
      </c>
      <c r="K129" s="11">
        <f t="shared" ca="1" si="6"/>
        <v>33935.493088301773</v>
      </c>
      <c r="L129" s="11">
        <f ca="1">Tabla2[[#This Row],[SaldoActual]]-Tabla2[[#This Row],[MontoDepositado]]</f>
        <v>719.49308830177324</v>
      </c>
      <c r="M129" s="7" t="str">
        <f t="shared" ca="1" si="7"/>
        <v>Vencido</v>
      </c>
    </row>
    <row r="130" spans="1:13" x14ac:dyDescent="0.25">
      <c r="A130" t="s">
        <v>1385</v>
      </c>
      <c r="B130" t="s">
        <v>254</v>
      </c>
      <c r="C130" s="8" t="s">
        <v>45</v>
      </c>
      <c r="D130" s="8" t="str">
        <f>_xlfn.XLOOKUP(Tabla2[[#This Row],[ClienteID]],Clientes!A:A,Clientes!G:G,"No encontrado",0)</f>
        <v>AG02</v>
      </c>
      <c r="E130" s="9">
        <v>46135</v>
      </c>
      <c r="F130" s="10">
        <v>5.8337914890782402E-3</v>
      </c>
      <c r="G130" s="10">
        <f t="shared" si="4"/>
        <v>4.8485423883692924E-4</v>
      </c>
      <c r="H130" s="8"/>
      <c r="I130" s="11">
        <v>46971</v>
      </c>
      <c r="J130" s="9" t="str">
        <f t="shared" si="5"/>
        <v/>
      </c>
      <c r="K130" s="11">
        <f t="shared" ca="1" si="6"/>
        <v>47039.355397051011</v>
      </c>
      <c r="L130" s="11">
        <f ca="1">Tabla2[[#This Row],[SaldoActual]]-Tabla2[[#This Row],[MontoDepositado]]</f>
        <v>68.355397051011096</v>
      </c>
      <c r="M130" s="7" t="str">
        <f t="shared" ca="1" si="7"/>
        <v>Vigente</v>
      </c>
    </row>
    <row r="131" spans="1:13" x14ac:dyDescent="0.25">
      <c r="A131" t="s">
        <v>1386</v>
      </c>
      <c r="B131" t="s">
        <v>528</v>
      </c>
      <c r="C131" s="8" t="s">
        <v>45</v>
      </c>
      <c r="D131" s="8" t="str">
        <f>_xlfn.XLOOKUP(Tabla2[[#This Row],[ClienteID]],Clientes!A:A,Clientes!G:G,"No encontrado",0)</f>
        <v>AG07</v>
      </c>
      <c r="E131" s="9">
        <v>46212</v>
      </c>
      <c r="F131" s="10">
        <v>7.9670040461792702E-3</v>
      </c>
      <c r="G131" s="10">
        <f t="shared" ref="G131:G194" si="8">(1+F131)^(1/12)-1</f>
        <v>6.6150495064487558E-4</v>
      </c>
      <c r="H131" s="8"/>
      <c r="I131" s="11">
        <v>49388</v>
      </c>
      <c r="J131" s="9" t="str">
        <f t="shared" ref="J131:J194" si="9">IF(H131=0,"",EDATE(E131,H131))</f>
        <v/>
      </c>
      <c r="K131" s="11">
        <f t="shared" ref="K131:K194" ca="1" si="10">IF(C131="TD01",I131*(1+G131)^DATEDIF(E131,TODAY(),"m"),I131*(1+G131)^MIN(DATEDIF(E131,TODAY(),"m"),H131))</f>
        <v>49420.670406502446</v>
      </c>
      <c r="L131" s="11">
        <f ca="1">Tabla2[[#This Row],[SaldoActual]]-Tabla2[[#This Row],[MontoDepositado]]</f>
        <v>32.670406502445985</v>
      </c>
      <c r="M131" s="7" t="str">
        <f t="shared" ref="M131:M194" ca="1" si="11">IF(H131=0,"Vigente",IF(TODAY()&gt;J131,"Vencido","Vigente"))</f>
        <v>Vigente</v>
      </c>
    </row>
    <row r="132" spans="1:13" x14ac:dyDescent="0.25">
      <c r="A132" t="s">
        <v>1387</v>
      </c>
      <c r="B132" t="s">
        <v>549</v>
      </c>
      <c r="C132" s="8" t="s">
        <v>50</v>
      </c>
      <c r="D132" s="8" t="str">
        <f>_xlfn.XLOOKUP(Tabla2[[#This Row],[ClienteID]],Clientes!A:A,Clientes!G:G,"No encontrado",0)</f>
        <v>AG05</v>
      </c>
      <c r="E132" s="9">
        <v>45115</v>
      </c>
      <c r="F132" s="10">
        <v>5.9633515920940496E-2</v>
      </c>
      <c r="G132" s="10">
        <f t="shared" si="8"/>
        <v>4.838594092940296E-3</v>
      </c>
      <c r="H132" s="8">
        <v>12</v>
      </c>
      <c r="I132" s="11">
        <v>15801</v>
      </c>
      <c r="J132" s="9">
        <f t="shared" si="9"/>
        <v>45481</v>
      </c>
      <c r="K132" s="11">
        <f t="shared" ca="1" si="10"/>
        <v>16743.269185066787</v>
      </c>
      <c r="L132" s="11">
        <f ca="1">Tabla2[[#This Row],[SaldoActual]]-Tabla2[[#This Row],[MontoDepositado]]</f>
        <v>942.26918506678703</v>
      </c>
      <c r="M132" s="7" t="str">
        <f t="shared" ca="1" si="11"/>
        <v>Vencido</v>
      </c>
    </row>
    <row r="133" spans="1:13" x14ac:dyDescent="0.25">
      <c r="A133" t="s">
        <v>1388</v>
      </c>
      <c r="B133" t="s">
        <v>204</v>
      </c>
      <c r="C133" s="8" t="s">
        <v>52</v>
      </c>
      <c r="D133" s="8" t="str">
        <f>_xlfn.XLOOKUP(Tabla2[[#This Row],[ClienteID]],Clientes!A:A,Clientes!G:G,"No encontrado",0)</f>
        <v>AG02</v>
      </c>
      <c r="E133" s="9">
        <v>46160</v>
      </c>
      <c r="F133" s="10">
        <v>4.2414078805569813E-2</v>
      </c>
      <c r="G133" s="10">
        <f t="shared" si="8"/>
        <v>3.4676026786117919E-3</v>
      </c>
      <c r="H133" s="8">
        <v>6</v>
      </c>
      <c r="I133" s="11">
        <v>3735</v>
      </c>
      <c r="J133" s="9">
        <f t="shared" si="9"/>
        <v>46344</v>
      </c>
      <c r="K133" s="11">
        <f t="shared" ca="1" si="10"/>
        <v>3760.9479026514682</v>
      </c>
      <c r="L133" s="11">
        <f ca="1">Tabla2[[#This Row],[SaldoActual]]-Tabla2[[#This Row],[MontoDepositado]]</f>
        <v>25.947902651468212</v>
      </c>
      <c r="M133" s="7" t="str">
        <f t="shared" ca="1" si="11"/>
        <v>Vigente</v>
      </c>
    </row>
    <row r="134" spans="1:13" x14ac:dyDescent="0.25">
      <c r="A134" t="s">
        <v>1389</v>
      </c>
      <c r="B134" t="s">
        <v>793</v>
      </c>
      <c r="C134" s="8" t="s">
        <v>45</v>
      </c>
      <c r="D134" s="8" t="str">
        <f>_xlfn.XLOOKUP(Tabla2[[#This Row],[ClienteID]],Clientes!A:A,Clientes!G:G,"No encontrado",0)</f>
        <v>AG03</v>
      </c>
      <c r="E134" s="9">
        <v>45479</v>
      </c>
      <c r="F134" s="10">
        <v>6.3708461756394417E-3</v>
      </c>
      <c r="G134" s="10">
        <f t="shared" si="8"/>
        <v>5.2935990469582528E-4</v>
      </c>
      <c r="H134" s="8"/>
      <c r="I134" s="11">
        <v>39630</v>
      </c>
      <c r="J134" s="9" t="str">
        <f t="shared" si="9"/>
        <v/>
      </c>
      <c r="K134" s="11">
        <f t="shared" ca="1" si="10"/>
        <v>40157.808444185881</v>
      </c>
      <c r="L134" s="11">
        <f ca="1">Tabla2[[#This Row],[SaldoActual]]-Tabla2[[#This Row],[MontoDepositado]]</f>
        <v>527.80844418588094</v>
      </c>
      <c r="M134" s="7" t="str">
        <f t="shared" ca="1" si="11"/>
        <v>Vigente</v>
      </c>
    </row>
    <row r="135" spans="1:13" x14ac:dyDescent="0.25">
      <c r="A135" t="s">
        <v>1390</v>
      </c>
      <c r="B135" t="s">
        <v>753</v>
      </c>
      <c r="C135" s="8" t="s">
        <v>52</v>
      </c>
      <c r="D135" s="8" t="str">
        <f>_xlfn.XLOOKUP(Tabla2[[#This Row],[ClienteID]],Clientes!A:A,Clientes!G:G,"No encontrado",0)</f>
        <v>AG08</v>
      </c>
      <c r="E135" s="9">
        <v>46128</v>
      </c>
      <c r="F135" s="10">
        <v>3.0115540358697009E-2</v>
      </c>
      <c r="G135" s="10">
        <f t="shared" si="8"/>
        <v>2.4756402705092828E-3</v>
      </c>
      <c r="H135" s="8">
        <v>6</v>
      </c>
      <c r="I135" s="11">
        <v>37003</v>
      </c>
      <c r="J135" s="9">
        <f t="shared" si="9"/>
        <v>46311</v>
      </c>
      <c r="K135" s="11">
        <f t="shared" ca="1" si="10"/>
        <v>37278.499263600344</v>
      </c>
      <c r="L135" s="11">
        <f ca="1">Tabla2[[#This Row],[SaldoActual]]-Tabla2[[#This Row],[MontoDepositado]]</f>
        <v>275.49926360034442</v>
      </c>
      <c r="M135" s="7" t="str">
        <f t="shared" ca="1" si="11"/>
        <v>Vigente</v>
      </c>
    </row>
    <row r="136" spans="1:13" x14ac:dyDescent="0.25">
      <c r="A136" t="s">
        <v>1391</v>
      </c>
      <c r="B136" t="s">
        <v>819</v>
      </c>
      <c r="C136" s="8" t="s">
        <v>52</v>
      </c>
      <c r="D136" s="8" t="str">
        <f>_xlfn.XLOOKUP(Tabla2[[#This Row],[ClienteID]],Clientes!A:A,Clientes!G:G,"No encontrado",0)</f>
        <v>AG06</v>
      </c>
      <c r="E136" s="9">
        <v>46181</v>
      </c>
      <c r="F136" s="10">
        <v>3.0844320059261299E-2</v>
      </c>
      <c r="G136" s="10">
        <f t="shared" si="8"/>
        <v>2.5347232145327414E-3</v>
      </c>
      <c r="H136" s="8">
        <v>6</v>
      </c>
      <c r="I136" s="11">
        <v>15767</v>
      </c>
      <c r="J136" s="9">
        <f t="shared" si="9"/>
        <v>46364</v>
      </c>
      <c r="K136" s="11">
        <f t="shared" ca="1" si="10"/>
        <v>15847.031262011991</v>
      </c>
      <c r="L136" s="11">
        <f ca="1">Tabla2[[#This Row],[SaldoActual]]-Tabla2[[#This Row],[MontoDepositado]]</f>
        <v>80.031262011991203</v>
      </c>
      <c r="M136" s="7" t="str">
        <f t="shared" ca="1" si="11"/>
        <v>Vigente</v>
      </c>
    </row>
    <row r="137" spans="1:13" x14ac:dyDescent="0.25">
      <c r="A137" t="s">
        <v>1392</v>
      </c>
      <c r="B137" t="s">
        <v>567</v>
      </c>
      <c r="C137" s="8" t="s">
        <v>50</v>
      </c>
      <c r="D137" s="8" t="str">
        <f>_xlfn.XLOOKUP(Tabla2[[#This Row],[ClienteID]],Clientes!A:A,Clientes!G:G,"No encontrado",0)</f>
        <v>AG03</v>
      </c>
      <c r="E137" s="9">
        <v>46052</v>
      </c>
      <c r="F137" s="10">
        <v>6.0580347415255566E-2</v>
      </c>
      <c r="G137" s="10">
        <f t="shared" si="8"/>
        <v>4.9133859425183335E-3</v>
      </c>
      <c r="H137" s="8">
        <v>12</v>
      </c>
      <c r="I137" s="11">
        <v>29110</v>
      </c>
      <c r="J137" s="9">
        <f t="shared" si="9"/>
        <v>46417</v>
      </c>
      <c r="K137" s="11">
        <f t="shared" ca="1" si="10"/>
        <v>29978.782627300661</v>
      </c>
      <c r="L137" s="11">
        <f ca="1">Tabla2[[#This Row],[SaldoActual]]-Tabla2[[#This Row],[MontoDepositado]]</f>
        <v>868.78262730066126</v>
      </c>
      <c r="M137" s="7" t="str">
        <f t="shared" ca="1" si="11"/>
        <v>Vigente</v>
      </c>
    </row>
    <row r="138" spans="1:13" x14ac:dyDescent="0.25">
      <c r="A138" t="s">
        <v>1393</v>
      </c>
      <c r="B138" t="s">
        <v>837</v>
      </c>
      <c r="C138" s="8" t="s">
        <v>50</v>
      </c>
      <c r="D138" s="8" t="str">
        <f>_xlfn.XLOOKUP(Tabla2[[#This Row],[ClienteID]],Clientes!A:A,Clientes!G:G,"No encontrado",0)</f>
        <v>AG06</v>
      </c>
      <c r="E138" s="9">
        <v>46010</v>
      </c>
      <c r="F138" s="10">
        <v>5.6224889785808807E-2</v>
      </c>
      <c r="G138" s="10">
        <f t="shared" si="8"/>
        <v>4.5688326359754061E-3</v>
      </c>
      <c r="H138" s="8">
        <v>12</v>
      </c>
      <c r="I138" s="11">
        <v>12294</v>
      </c>
      <c r="J138" s="9">
        <f t="shared" si="9"/>
        <v>46375</v>
      </c>
      <c r="K138" s="11">
        <f t="shared" ca="1" si="10"/>
        <v>12692.615008008772</v>
      </c>
      <c r="L138" s="11">
        <f ca="1">Tabla2[[#This Row],[SaldoActual]]-Tabla2[[#This Row],[MontoDepositado]]</f>
        <v>398.61500800877184</v>
      </c>
      <c r="M138" s="7" t="str">
        <f t="shared" ca="1" si="11"/>
        <v>Vigente</v>
      </c>
    </row>
    <row r="139" spans="1:13" x14ac:dyDescent="0.25">
      <c r="A139" t="s">
        <v>1394</v>
      </c>
      <c r="B139" t="s">
        <v>579</v>
      </c>
      <c r="C139" s="8" t="s">
        <v>45</v>
      </c>
      <c r="D139" s="8" t="str">
        <f>_xlfn.XLOOKUP(Tabla2[[#This Row],[ClienteID]],Clientes!A:A,Clientes!G:G,"No encontrado",0)</f>
        <v>AG07</v>
      </c>
      <c r="E139" s="9">
        <v>45931</v>
      </c>
      <c r="F139" s="10">
        <v>1.1305740432781309E-2</v>
      </c>
      <c r="G139" s="10">
        <f t="shared" si="8"/>
        <v>9.3729800620279136E-4</v>
      </c>
      <c r="H139" s="8"/>
      <c r="I139" s="11">
        <v>4951</v>
      </c>
      <c r="J139" s="9" t="str">
        <f t="shared" si="9"/>
        <v/>
      </c>
      <c r="K139" s="11">
        <f t="shared" ca="1" si="10"/>
        <v>4997.6018458599428</v>
      </c>
      <c r="L139" s="11">
        <f ca="1">Tabla2[[#This Row],[SaldoActual]]-Tabla2[[#This Row],[MontoDepositado]]</f>
        <v>46.601845859942841</v>
      </c>
      <c r="M139" s="7" t="str">
        <f t="shared" ca="1" si="11"/>
        <v>Vigente</v>
      </c>
    </row>
    <row r="140" spans="1:13" x14ac:dyDescent="0.25">
      <c r="A140" t="s">
        <v>1395</v>
      </c>
      <c r="B140" t="s">
        <v>279</v>
      </c>
      <c r="C140" s="8" t="s">
        <v>48</v>
      </c>
      <c r="D140" s="8" t="str">
        <f>_xlfn.XLOOKUP(Tabla2[[#This Row],[ClienteID]],Clientes!A:A,Clientes!G:G,"No encontrado",0)</f>
        <v>AG06</v>
      </c>
      <c r="E140" s="9">
        <v>45768</v>
      </c>
      <c r="F140" s="10">
        <v>4.7956343343980828E-2</v>
      </c>
      <c r="G140" s="10">
        <f t="shared" si="8"/>
        <v>3.9111225485080059E-3</v>
      </c>
      <c r="H140" s="8">
        <v>6</v>
      </c>
      <c r="I140" s="11">
        <v>35163</v>
      </c>
      <c r="J140" s="9">
        <f t="shared" si="9"/>
        <v>45951</v>
      </c>
      <c r="K140" s="11">
        <f t="shared" ca="1" si="10"/>
        <v>35996.271273925289</v>
      </c>
      <c r="L140" s="11">
        <f ca="1">Tabla2[[#This Row],[SaldoActual]]-Tabla2[[#This Row],[MontoDepositado]]</f>
        <v>833.27127392528928</v>
      </c>
      <c r="M140" s="7" t="str">
        <f t="shared" ca="1" si="11"/>
        <v>Vencido</v>
      </c>
    </row>
    <row r="141" spans="1:13" x14ac:dyDescent="0.25">
      <c r="A141" t="s">
        <v>1396</v>
      </c>
      <c r="B141" t="s">
        <v>423</v>
      </c>
      <c r="C141" s="8" t="s">
        <v>45</v>
      </c>
      <c r="D141" s="8" t="str">
        <f>_xlfn.XLOOKUP(Tabla2[[#This Row],[ClienteID]],Clientes!A:A,Clientes!G:G,"No encontrado",0)</f>
        <v>AG02</v>
      </c>
      <c r="E141" s="9">
        <v>45952</v>
      </c>
      <c r="F141" s="10">
        <v>8.4568433959814962E-3</v>
      </c>
      <c r="G141" s="10">
        <f t="shared" si="8"/>
        <v>7.0202002010733011E-4</v>
      </c>
      <c r="H141" s="8"/>
      <c r="I141" s="11">
        <v>28297</v>
      </c>
      <c r="J141" s="9" t="str">
        <f t="shared" si="9"/>
        <v/>
      </c>
      <c r="K141" s="11">
        <f t="shared" ca="1" si="10"/>
        <v>28476.288411945534</v>
      </c>
      <c r="L141" s="11">
        <f ca="1">Tabla2[[#This Row],[SaldoActual]]-Tabla2[[#This Row],[MontoDepositado]]</f>
        <v>179.28841194553388</v>
      </c>
      <c r="M141" s="7" t="str">
        <f t="shared" ca="1" si="11"/>
        <v>Vigente</v>
      </c>
    </row>
    <row r="142" spans="1:13" x14ac:dyDescent="0.25">
      <c r="A142" t="s">
        <v>1397</v>
      </c>
      <c r="B142" t="s">
        <v>492</v>
      </c>
      <c r="C142" s="8" t="s">
        <v>52</v>
      </c>
      <c r="D142" s="8" t="str">
        <f>_xlfn.XLOOKUP(Tabla2[[#This Row],[ClienteID]],Clientes!A:A,Clientes!G:G,"No encontrado",0)</f>
        <v>AG03</v>
      </c>
      <c r="E142" s="9">
        <v>45617</v>
      </c>
      <c r="F142" s="10">
        <v>3.290194064876821E-2</v>
      </c>
      <c r="G142" s="10">
        <f t="shared" si="8"/>
        <v>2.7013302738534417E-3</v>
      </c>
      <c r="H142" s="8">
        <v>6</v>
      </c>
      <c r="I142" s="11">
        <v>41086</v>
      </c>
      <c r="J142" s="9">
        <f t="shared" si="9"/>
        <v>45798</v>
      </c>
      <c r="K142" s="11">
        <f t="shared" ca="1" si="10"/>
        <v>41756.434546771183</v>
      </c>
      <c r="L142" s="11">
        <f ca="1">Tabla2[[#This Row],[SaldoActual]]-Tabla2[[#This Row],[MontoDepositado]]</f>
        <v>670.4345467711828</v>
      </c>
      <c r="M142" s="7" t="str">
        <f t="shared" ca="1" si="11"/>
        <v>Vencido</v>
      </c>
    </row>
    <row r="143" spans="1:13" x14ac:dyDescent="0.25">
      <c r="A143" t="s">
        <v>1398</v>
      </c>
      <c r="B143" t="s">
        <v>705</v>
      </c>
      <c r="C143" s="8" t="s">
        <v>48</v>
      </c>
      <c r="D143" s="8" t="str">
        <f>_xlfn.XLOOKUP(Tabla2[[#This Row],[ClienteID]],Clientes!A:A,Clientes!G:G,"No encontrado",0)</f>
        <v>AG06</v>
      </c>
      <c r="E143" s="9">
        <v>45583</v>
      </c>
      <c r="F143" s="10">
        <v>4.9997922579207509E-2</v>
      </c>
      <c r="G143" s="10">
        <f t="shared" si="8"/>
        <v>4.0739582371123184E-3</v>
      </c>
      <c r="H143" s="8">
        <v>6</v>
      </c>
      <c r="I143" s="11">
        <v>28344</v>
      </c>
      <c r="J143" s="9">
        <f t="shared" si="9"/>
        <v>45765</v>
      </c>
      <c r="K143" s="11">
        <f t="shared" ca="1" si="10"/>
        <v>29043.928519345158</v>
      </c>
      <c r="L143" s="11">
        <f ca="1">Tabla2[[#This Row],[SaldoActual]]-Tabla2[[#This Row],[MontoDepositado]]</f>
        <v>699.92851934515784</v>
      </c>
      <c r="M143" s="7" t="str">
        <f t="shared" ca="1" si="11"/>
        <v>Vencido</v>
      </c>
    </row>
    <row r="144" spans="1:13" x14ac:dyDescent="0.25">
      <c r="A144" t="s">
        <v>1399</v>
      </c>
      <c r="B144" t="s">
        <v>837</v>
      </c>
      <c r="C144" s="8" t="s">
        <v>46</v>
      </c>
      <c r="D144" s="8" t="str">
        <f>_xlfn.XLOOKUP(Tabla2[[#This Row],[ClienteID]],Clientes!A:A,Clientes!G:G,"No encontrado",0)</f>
        <v>AG06</v>
      </c>
      <c r="E144" s="9">
        <v>45792</v>
      </c>
      <c r="F144" s="10">
        <v>3.6179727889869492E-2</v>
      </c>
      <c r="G144" s="10">
        <f t="shared" si="8"/>
        <v>2.9661078279008546E-3</v>
      </c>
      <c r="H144" s="8">
        <v>3</v>
      </c>
      <c r="I144" s="11">
        <v>16052</v>
      </c>
      <c r="J144" s="9">
        <f t="shared" si="9"/>
        <v>45884</v>
      </c>
      <c r="K144" s="11">
        <f t="shared" ca="1" si="10"/>
        <v>16195.259974087876</v>
      </c>
      <c r="L144" s="11">
        <f ca="1">Tabla2[[#This Row],[SaldoActual]]-Tabla2[[#This Row],[MontoDepositado]]</f>
        <v>143.25997408787589</v>
      </c>
      <c r="M144" s="7" t="str">
        <f t="shared" ca="1" si="11"/>
        <v>Vencido</v>
      </c>
    </row>
    <row r="145" spans="1:13" x14ac:dyDescent="0.25">
      <c r="A145" t="s">
        <v>1400</v>
      </c>
      <c r="B145" t="s">
        <v>108</v>
      </c>
      <c r="C145" s="8" t="s">
        <v>46</v>
      </c>
      <c r="D145" s="8" t="str">
        <f>_xlfn.XLOOKUP(Tabla2[[#This Row],[ClienteID]],Clientes!A:A,Clientes!G:G,"No encontrado",0)</f>
        <v>AG07</v>
      </c>
      <c r="E145" s="9">
        <v>45242</v>
      </c>
      <c r="F145" s="10">
        <v>3.5906941993289469E-2</v>
      </c>
      <c r="G145" s="10">
        <f t="shared" si="8"/>
        <v>2.9441016691635902E-3</v>
      </c>
      <c r="H145" s="8">
        <v>3</v>
      </c>
      <c r="I145" s="11">
        <v>48821</v>
      </c>
      <c r="J145" s="9">
        <f t="shared" si="9"/>
        <v>45334</v>
      </c>
      <c r="K145" s="11">
        <f t="shared" ca="1" si="10"/>
        <v>49253.472711037117</v>
      </c>
      <c r="L145" s="11">
        <f ca="1">Tabla2[[#This Row],[SaldoActual]]-Tabla2[[#This Row],[MontoDepositado]]</f>
        <v>432.47271103711682</v>
      </c>
      <c r="M145" s="7" t="str">
        <f t="shared" ca="1" si="11"/>
        <v>Vencido</v>
      </c>
    </row>
    <row r="146" spans="1:13" x14ac:dyDescent="0.25">
      <c r="A146" t="s">
        <v>1401</v>
      </c>
      <c r="B146" t="s">
        <v>317</v>
      </c>
      <c r="C146" s="8" t="s">
        <v>45</v>
      </c>
      <c r="D146" s="8" t="str">
        <f>_xlfn.XLOOKUP(Tabla2[[#This Row],[ClienteID]],Clientes!A:A,Clientes!G:G,"No encontrado",0)</f>
        <v>AG02</v>
      </c>
      <c r="E146" s="9">
        <v>45456</v>
      </c>
      <c r="F146" s="10">
        <v>6.0177919570149696E-3</v>
      </c>
      <c r="G146" s="10">
        <f t="shared" si="8"/>
        <v>5.0010479098361316E-4</v>
      </c>
      <c r="H146" s="8"/>
      <c r="I146" s="11">
        <v>4147</v>
      </c>
      <c r="J146" s="9" t="str">
        <f t="shared" si="9"/>
        <v/>
      </c>
      <c r="K146" s="11">
        <f t="shared" ca="1" si="10"/>
        <v>4199.1607158900115</v>
      </c>
      <c r="L146" s="11">
        <f ca="1">Tabla2[[#This Row],[SaldoActual]]-Tabla2[[#This Row],[MontoDepositado]]</f>
        <v>52.160715890011488</v>
      </c>
      <c r="M146" s="7" t="str">
        <f t="shared" ca="1" si="11"/>
        <v>Vigente</v>
      </c>
    </row>
    <row r="147" spans="1:13" x14ac:dyDescent="0.25">
      <c r="A147" t="s">
        <v>1402</v>
      </c>
      <c r="B147" t="s">
        <v>540</v>
      </c>
      <c r="C147" s="8" t="s">
        <v>48</v>
      </c>
      <c r="D147" s="8" t="str">
        <f>_xlfn.XLOOKUP(Tabla2[[#This Row],[ClienteID]],Clientes!A:A,Clientes!G:G,"No encontrado",0)</f>
        <v>AG05</v>
      </c>
      <c r="E147" s="9">
        <v>45160</v>
      </c>
      <c r="F147" s="10">
        <v>4.1070524943823183E-2</v>
      </c>
      <c r="G147" s="10">
        <f t="shared" si="8"/>
        <v>3.3597592681742228E-3</v>
      </c>
      <c r="H147" s="8">
        <v>6</v>
      </c>
      <c r="I147" s="11">
        <v>26253</v>
      </c>
      <c r="J147" s="9">
        <f t="shared" si="9"/>
        <v>45344</v>
      </c>
      <c r="K147" s="11">
        <f t="shared" ca="1" si="10"/>
        <v>26786.687674503864</v>
      </c>
      <c r="L147" s="11">
        <f ca="1">Tabla2[[#This Row],[SaldoActual]]-Tabla2[[#This Row],[MontoDepositado]]</f>
        <v>533.6876745038644</v>
      </c>
      <c r="M147" s="7" t="str">
        <f t="shared" ca="1" si="11"/>
        <v>Vencido</v>
      </c>
    </row>
    <row r="148" spans="1:13" x14ac:dyDescent="0.25">
      <c r="A148" t="s">
        <v>1403</v>
      </c>
      <c r="B148" t="s">
        <v>347</v>
      </c>
      <c r="C148" s="8" t="s">
        <v>46</v>
      </c>
      <c r="D148" s="8" t="str">
        <f>_xlfn.XLOOKUP(Tabla2[[#This Row],[ClienteID]],Clientes!A:A,Clientes!G:G,"No encontrado",0)</f>
        <v>AG04</v>
      </c>
      <c r="E148" s="9">
        <v>45943</v>
      </c>
      <c r="F148" s="10">
        <v>3.7688540039986493E-2</v>
      </c>
      <c r="G148" s="10">
        <f t="shared" si="8"/>
        <v>3.0877307463923476E-3</v>
      </c>
      <c r="H148" s="8">
        <v>3</v>
      </c>
      <c r="I148" s="11">
        <v>20030</v>
      </c>
      <c r="J148" s="9">
        <f t="shared" si="9"/>
        <v>46035</v>
      </c>
      <c r="K148" s="11">
        <f t="shared" ca="1" si="10"/>
        <v>20216.115233144421</v>
      </c>
      <c r="L148" s="11">
        <f ca="1">Tabla2[[#This Row],[SaldoActual]]-Tabla2[[#This Row],[MontoDepositado]]</f>
        <v>186.11523314442093</v>
      </c>
      <c r="M148" s="7" t="str">
        <f t="shared" ca="1" si="11"/>
        <v>Vencido</v>
      </c>
    </row>
    <row r="149" spans="1:13" x14ac:dyDescent="0.25">
      <c r="A149" t="s">
        <v>1404</v>
      </c>
      <c r="B149" t="s">
        <v>780</v>
      </c>
      <c r="C149" s="8" t="s">
        <v>48</v>
      </c>
      <c r="D149" s="8" t="str">
        <f>_xlfn.XLOOKUP(Tabla2[[#This Row],[ClienteID]],Clientes!A:A,Clientes!G:G,"No encontrado",0)</f>
        <v>AG02</v>
      </c>
      <c r="E149" s="9">
        <v>44866</v>
      </c>
      <c r="F149" s="10">
        <v>4.4086735981437274E-2</v>
      </c>
      <c r="G149" s="10">
        <f t="shared" si="8"/>
        <v>3.6016844043362806E-3</v>
      </c>
      <c r="H149" s="8">
        <v>6</v>
      </c>
      <c r="I149" s="11">
        <v>22056</v>
      </c>
      <c r="J149" s="9">
        <f t="shared" si="9"/>
        <v>45047</v>
      </c>
      <c r="K149" s="11">
        <f t="shared" ca="1" si="10"/>
        <v>22536.944872552664</v>
      </c>
      <c r="L149" s="11">
        <f ca="1">Tabla2[[#This Row],[SaldoActual]]-Tabla2[[#This Row],[MontoDepositado]]</f>
        <v>480.94487255266358</v>
      </c>
      <c r="M149" s="7" t="str">
        <f t="shared" ca="1" si="11"/>
        <v>Vencido</v>
      </c>
    </row>
    <row r="150" spans="1:13" x14ac:dyDescent="0.25">
      <c r="A150" t="s">
        <v>1405</v>
      </c>
      <c r="B150" t="s">
        <v>201</v>
      </c>
      <c r="C150" s="8" t="s">
        <v>50</v>
      </c>
      <c r="D150" s="8" t="str">
        <f>_xlfn.XLOOKUP(Tabla2[[#This Row],[ClienteID]],Clientes!A:A,Clientes!G:G,"No encontrado",0)</f>
        <v>AG05</v>
      </c>
      <c r="E150" s="9">
        <v>46145</v>
      </c>
      <c r="F150" s="10">
        <v>6.6853146437943198E-2</v>
      </c>
      <c r="G150" s="10">
        <f t="shared" si="8"/>
        <v>5.4073447525762042E-3</v>
      </c>
      <c r="H150" s="8">
        <v>12</v>
      </c>
      <c r="I150" s="11">
        <v>6622</v>
      </c>
      <c r="J150" s="9">
        <f t="shared" si="9"/>
        <v>46510</v>
      </c>
      <c r="K150" s="11">
        <f t="shared" ca="1" si="10"/>
        <v>6730.0042273107465</v>
      </c>
      <c r="L150" s="11">
        <f ca="1">Tabla2[[#This Row],[SaldoActual]]-Tabla2[[#This Row],[MontoDepositado]]</f>
        <v>108.0042273107465</v>
      </c>
      <c r="M150" s="7" t="str">
        <f t="shared" ca="1" si="11"/>
        <v>Vigente</v>
      </c>
    </row>
    <row r="151" spans="1:13" x14ac:dyDescent="0.25">
      <c r="A151" t="s">
        <v>1406</v>
      </c>
      <c r="B151" t="s">
        <v>447</v>
      </c>
      <c r="C151" s="8" t="s">
        <v>45</v>
      </c>
      <c r="D151" s="8" t="str">
        <f>_xlfn.XLOOKUP(Tabla2[[#This Row],[ClienteID]],Clientes!A:A,Clientes!G:G,"No encontrado",0)</f>
        <v>AG08</v>
      </c>
      <c r="E151" s="9">
        <v>46206</v>
      </c>
      <c r="F151" s="10">
        <v>5.9470155521627165E-3</v>
      </c>
      <c r="G151" s="10">
        <f t="shared" si="8"/>
        <v>4.942389169340089E-4</v>
      </c>
      <c r="H151" s="8"/>
      <c r="I151" s="11">
        <v>30734</v>
      </c>
      <c r="J151" s="9" t="str">
        <f t="shared" si="9"/>
        <v/>
      </c>
      <c r="K151" s="11">
        <f t="shared" ca="1" si="10"/>
        <v>30749.189938873049</v>
      </c>
      <c r="L151" s="11">
        <f ca="1">Tabla2[[#This Row],[SaldoActual]]-Tabla2[[#This Row],[MontoDepositado]]</f>
        <v>15.189938873048959</v>
      </c>
      <c r="M151" s="7" t="str">
        <f t="shared" ca="1" si="11"/>
        <v>Vigente</v>
      </c>
    </row>
    <row r="152" spans="1:13" x14ac:dyDescent="0.25">
      <c r="A152" t="s">
        <v>1407</v>
      </c>
      <c r="B152" t="s">
        <v>263</v>
      </c>
      <c r="C152" s="8" t="s">
        <v>46</v>
      </c>
      <c r="D152" s="8" t="str">
        <f>_xlfn.XLOOKUP(Tabla2[[#This Row],[ClienteID]],Clientes!A:A,Clientes!G:G,"No encontrado",0)</f>
        <v>AG07</v>
      </c>
      <c r="E152" s="9">
        <v>45335</v>
      </c>
      <c r="F152" s="10">
        <v>3.6999163506726433E-2</v>
      </c>
      <c r="G152" s="10">
        <f t="shared" si="8"/>
        <v>3.0321813401501529E-3</v>
      </c>
      <c r="H152" s="8">
        <v>3</v>
      </c>
      <c r="I152" s="11">
        <v>26323</v>
      </c>
      <c r="J152" s="9">
        <f t="shared" si="9"/>
        <v>45425</v>
      </c>
      <c r="K152" s="11">
        <f t="shared" ca="1" si="10"/>
        <v>26563.175112842349</v>
      </c>
      <c r="L152" s="11">
        <f ca="1">Tabla2[[#This Row],[SaldoActual]]-Tabla2[[#This Row],[MontoDepositado]]</f>
        <v>240.17511284234934</v>
      </c>
      <c r="M152" s="7" t="str">
        <f t="shared" ca="1" si="11"/>
        <v>Vencido</v>
      </c>
    </row>
    <row r="153" spans="1:13" x14ac:dyDescent="0.25">
      <c r="A153" t="s">
        <v>1408</v>
      </c>
      <c r="B153" t="s">
        <v>624</v>
      </c>
      <c r="C153" s="8" t="s">
        <v>50</v>
      </c>
      <c r="D153" s="8" t="str">
        <f>_xlfn.XLOOKUP(Tabla2[[#This Row],[ClienteID]],Clientes!A:A,Clientes!G:G,"No encontrado",0)</f>
        <v>AG08</v>
      </c>
      <c r="E153" s="9">
        <v>46202</v>
      </c>
      <c r="F153" s="10">
        <v>5.7946075956741401E-2</v>
      </c>
      <c r="G153" s="10">
        <f t="shared" si="8"/>
        <v>4.705148296833217E-3</v>
      </c>
      <c r="H153" s="8">
        <v>12</v>
      </c>
      <c r="I153" s="11">
        <v>26633</v>
      </c>
      <c r="J153" s="9">
        <f t="shared" si="9"/>
        <v>46567</v>
      </c>
      <c r="K153" s="11">
        <f t="shared" ca="1" si="10"/>
        <v>26758.312214589558</v>
      </c>
      <c r="L153" s="11">
        <f ca="1">Tabla2[[#This Row],[SaldoActual]]-Tabla2[[#This Row],[MontoDepositado]]</f>
        <v>125.3122145895577</v>
      </c>
      <c r="M153" s="7" t="str">
        <f t="shared" ca="1" si="11"/>
        <v>Vigente</v>
      </c>
    </row>
    <row r="154" spans="1:13" x14ac:dyDescent="0.25">
      <c r="A154" t="s">
        <v>1409</v>
      </c>
      <c r="B154" t="s">
        <v>441</v>
      </c>
      <c r="C154" s="8" t="s">
        <v>45</v>
      </c>
      <c r="D154" s="8" t="str">
        <f>_xlfn.XLOOKUP(Tabla2[[#This Row],[ClienteID]],Clientes!A:A,Clientes!G:G,"No encontrado",0)</f>
        <v>AG03</v>
      </c>
      <c r="E154" s="9">
        <v>46159</v>
      </c>
      <c r="F154" s="10">
        <v>5.5221096549000273E-3</v>
      </c>
      <c r="G154" s="10">
        <f t="shared" si="8"/>
        <v>4.5901520740221358E-4</v>
      </c>
      <c r="H154" s="8"/>
      <c r="I154" s="11">
        <v>18559</v>
      </c>
      <c r="J154" s="9" t="str">
        <f t="shared" si="9"/>
        <v/>
      </c>
      <c r="K154" s="11">
        <f t="shared" ca="1" si="10"/>
        <v>18576.04163675613</v>
      </c>
      <c r="L154" s="11">
        <f ca="1">Tabla2[[#This Row],[SaldoActual]]-Tabla2[[#This Row],[MontoDepositado]]</f>
        <v>17.041636756130174</v>
      </c>
      <c r="M154" s="7" t="str">
        <f t="shared" ca="1" si="11"/>
        <v>Vigente</v>
      </c>
    </row>
    <row r="155" spans="1:13" x14ac:dyDescent="0.25">
      <c r="A155" t="s">
        <v>1410</v>
      </c>
      <c r="B155" t="s">
        <v>100</v>
      </c>
      <c r="C155" s="8" t="s">
        <v>46</v>
      </c>
      <c r="D155" s="8" t="str">
        <f>_xlfn.XLOOKUP(Tabla2[[#This Row],[ClienteID]],Clientes!A:A,Clientes!G:G,"No encontrado",0)</f>
        <v>AG05</v>
      </c>
      <c r="E155" s="9">
        <v>45708</v>
      </c>
      <c r="F155" s="10">
        <v>3.70124084810989E-2</v>
      </c>
      <c r="G155" s="10">
        <f t="shared" si="8"/>
        <v>3.0332489284241593E-3</v>
      </c>
      <c r="H155" s="8">
        <v>3</v>
      </c>
      <c r="I155" s="11">
        <v>27170</v>
      </c>
      <c r="J155" s="9">
        <f t="shared" si="9"/>
        <v>45797</v>
      </c>
      <c r="K155" s="11">
        <f t="shared" ca="1" si="10"/>
        <v>27417.990819237781</v>
      </c>
      <c r="L155" s="11">
        <f ca="1">Tabla2[[#This Row],[SaldoActual]]-Tabla2[[#This Row],[MontoDepositado]]</f>
        <v>247.99081923778067</v>
      </c>
      <c r="M155" s="7" t="str">
        <f t="shared" ca="1" si="11"/>
        <v>Vencido</v>
      </c>
    </row>
    <row r="156" spans="1:13" x14ac:dyDescent="0.25">
      <c r="A156" t="s">
        <v>1411</v>
      </c>
      <c r="B156" t="s">
        <v>73</v>
      </c>
      <c r="C156" s="8" t="s">
        <v>50</v>
      </c>
      <c r="D156" s="8" t="str">
        <f>_xlfn.XLOOKUP(Tabla2[[#This Row],[ClienteID]],Clientes!A:A,Clientes!G:G,"No encontrado",0)</f>
        <v>AG01</v>
      </c>
      <c r="E156" s="9">
        <v>45801</v>
      </c>
      <c r="F156" s="10">
        <v>6.359139338126138E-2</v>
      </c>
      <c r="G156" s="10">
        <f t="shared" si="8"/>
        <v>5.1508275003540049E-3</v>
      </c>
      <c r="H156" s="8">
        <v>12</v>
      </c>
      <c r="I156" s="11">
        <v>27093</v>
      </c>
      <c r="J156" s="9">
        <f t="shared" si="9"/>
        <v>46166</v>
      </c>
      <c r="K156" s="11">
        <f t="shared" ca="1" si="10"/>
        <v>28815.881620878496</v>
      </c>
      <c r="L156" s="11">
        <f ca="1">Tabla2[[#This Row],[SaldoActual]]-Tabla2[[#This Row],[MontoDepositado]]</f>
        <v>1722.8816208784956</v>
      </c>
      <c r="M156" s="7" t="str">
        <f t="shared" ca="1" si="11"/>
        <v>Vencido</v>
      </c>
    </row>
    <row r="157" spans="1:13" x14ac:dyDescent="0.25">
      <c r="A157" t="s">
        <v>1412</v>
      </c>
      <c r="B157" t="s">
        <v>678</v>
      </c>
      <c r="C157" s="8" t="s">
        <v>52</v>
      </c>
      <c r="D157" s="8" t="str">
        <f>_xlfn.XLOOKUP(Tabla2[[#This Row],[ClienteID]],Clientes!A:A,Clientes!G:G,"No encontrado",0)</f>
        <v>AG05</v>
      </c>
      <c r="E157" s="9">
        <v>45984</v>
      </c>
      <c r="F157" s="10">
        <v>3.787141370947629E-2</v>
      </c>
      <c r="G157" s="10">
        <f t="shared" si="8"/>
        <v>3.1024608823218003E-3</v>
      </c>
      <c r="H157" s="8">
        <v>6</v>
      </c>
      <c r="I157" s="11">
        <v>15340</v>
      </c>
      <c r="J157" s="9">
        <f t="shared" si="9"/>
        <v>46165</v>
      </c>
      <c r="K157" s="11">
        <f t="shared" ca="1" si="10"/>
        <v>15627.774455753253</v>
      </c>
      <c r="L157" s="11">
        <f ca="1">Tabla2[[#This Row],[SaldoActual]]-Tabla2[[#This Row],[MontoDepositado]]</f>
        <v>287.77445575325328</v>
      </c>
      <c r="M157" s="7" t="str">
        <f t="shared" ca="1" si="11"/>
        <v>Vencido</v>
      </c>
    </row>
    <row r="158" spans="1:13" x14ac:dyDescent="0.25">
      <c r="A158" t="s">
        <v>1413</v>
      </c>
      <c r="B158" t="s">
        <v>401</v>
      </c>
      <c r="C158" s="8" t="s">
        <v>46</v>
      </c>
      <c r="D158" s="8" t="str">
        <f>_xlfn.XLOOKUP(Tabla2[[#This Row],[ClienteID]],Clientes!A:A,Clientes!G:G,"No encontrado",0)</f>
        <v>AG06</v>
      </c>
      <c r="E158" s="9">
        <v>46194</v>
      </c>
      <c r="F158" s="10">
        <v>3.1267519829710808E-2</v>
      </c>
      <c r="G158" s="10">
        <f t="shared" si="8"/>
        <v>2.5690148986334815E-3</v>
      </c>
      <c r="H158" s="8">
        <v>3</v>
      </c>
      <c r="I158" s="11">
        <v>22054</v>
      </c>
      <c r="J158" s="9">
        <f t="shared" si="9"/>
        <v>46286</v>
      </c>
      <c r="K158" s="11">
        <f t="shared" ca="1" si="10"/>
        <v>22110.657054574462</v>
      </c>
      <c r="L158" s="11">
        <f ca="1">Tabla2[[#This Row],[SaldoActual]]-Tabla2[[#This Row],[MontoDepositado]]</f>
        <v>56.657054574461654</v>
      </c>
      <c r="M158" s="7" t="str">
        <f t="shared" ca="1" si="11"/>
        <v>Vigente</v>
      </c>
    </row>
    <row r="159" spans="1:13" x14ac:dyDescent="0.25">
      <c r="A159" t="s">
        <v>1414</v>
      </c>
      <c r="B159" t="s">
        <v>198</v>
      </c>
      <c r="C159" s="8" t="s">
        <v>48</v>
      </c>
      <c r="D159" s="8" t="str">
        <f>_xlfn.XLOOKUP(Tabla2[[#This Row],[ClienteID]],Clientes!A:A,Clientes!G:G,"No encontrado",0)</f>
        <v>AG05</v>
      </c>
      <c r="E159" s="9">
        <v>45859</v>
      </c>
      <c r="F159" s="10">
        <v>4.567959957289109E-2</v>
      </c>
      <c r="G159" s="10">
        <f t="shared" si="8"/>
        <v>3.7291868919508975E-3</v>
      </c>
      <c r="H159" s="8">
        <v>6</v>
      </c>
      <c r="I159" s="11">
        <v>38641</v>
      </c>
      <c r="J159" s="9">
        <f t="shared" si="9"/>
        <v>46043</v>
      </c>
      <c r="K159" s="11">
        <f t="shared" ca="1" si="10"/>
        <v>39513.697865874274</v>
      </c>
      <c r="L159" s="11">
        <f ca="1">Tabla2[[#This Row],[SaldoActual]]-Tabla2[[#This Row],[MontoDepositado]]</f>
        <v>872.6978658742737</v>
      </c>
      <c r="M159" s="7" t="str">
        <f t="shared" ca="1" si="11"/>
        <v>Vencido</v>
      </c>
    </row>
    <row r="160" spans="1:13" x14ac:dyDescent="0.25">
      <c r="A160" t="s">
        <v>1415</v>
      </c>
      <c r="B160" t="s">
        <v>639</v>
      </c>
      <c r="C160" s="8" t="s">
        <v>50</v>
      </c>
      <c r="D160" s="8" t="str">
        <f>_xlfn.XLOOKUP(Tabla2[[#This Row],[ClienteID]],Clientes!A:A,Clientes!G:G,"No encontrado",0)</f>
        <v>AG07</v>
      </c>
      <c r="E160" s="9">
        <v>46243</v>
      </c>
      <c r="F160" s="10">
        <v>5.5284080372250022E-2</v>
      </c>
      <c r="G160" s="10">
        <f t="shared" si="8"/>
        <v>4.4942356850887766E-3</v>
      </c>
      <c r="H160" s="8">
        <v>12</v>
      </c>
      <c r="I160" s="11">
        <v>43999</v>
      </c>
      <c r="J160" s="9">
        <f t="shared" si="9"/>
        <v>46608</v>
      </c>
      <c r="K160" s="11">
        <f t="shared" ca="1" si="10"/>
        <v>43999</v>
      </c>
      <c r="L160" s="11">
        <f ca="1">Tabla2[[#This Row],[SaldoActual]]-Tabla2[[#This Row],[MontoDepositado]]</f>
        <v>0</v>
      </c>
      <c r="M160" s="7" t="str">
        <f t="shared" ca="1" si="11"/>
        <v>Vigente</v>
      </c>
    </row>
    <row r="161" spans="1:13" x14ac:dyDescent="0.25">
      <c r="A161" t="s">
        <v>1416</v>
      </c>
      <c r="B161" t="s">
        <v>180</v>
      </c>
      <c r="C161" s="8" t="s">
        <v>52</v>
      </c>
      <c r="D161" s="8" t="str">
        <f>_xlfn.XLOOKUP(Tabla2[[#This Row],[ClienteID]],Clientes!A:A,Clientes!G:G,"No encontrado",0)</f>
        <v>AG06</v>
      </c>
      <c r="E161" s="9">
        <v>45180</v>
      </c>
      <c r="F161" s="10">
        <v>3.8605957600760833E-2</v>
      </c>
      <c r="G161" s="10">
        <f t="shared" si="8"/>
        <v>3.1616030740406753E-3</v>
      </c>
      <c r="H161" s="8">
        <v>6</v>
      </c>
      <c r="I161" s="11">
        <v>30736</v>
      </c>
      <c r="J161" s="9">
        <f t="shared" si="9"/>
        <v>45362</v>
      </c>
      <c r="K161" s="11">
        <f t="shared" ca="1" si="10"/>
        <v>31323.678098543023</v>
      </c>
      <c r="L161" s="11">
        <f ca="1">Tabla2[[#This Row],[SaldoActual]]-Tabla2[[#This Row],[MontoDepositado]]</f>
        <v>587.67809854302322</v>
      </c>
      <c r="M161" s="7" t="str">
        <f t="shared" ca="1" si="11"/>
        <v>Vencido</v>
      </c>
    </row>
    <row r="162" spans="1:13" x14ac:dyDescent="0.25">
      <c r="A162" t="s">
        <v>1417</v>
      </c>
      <c r="B162" t="s">
        <v>356</v>
      </c>
      <c r="C162" s="8" t="s">
        <v>52</v>
      </c>
      <c r="D162" s="8" t="str">
        <f>_xlfn.XLOOKUP(Tabla2[[#This Row],[ClienteID]],Clientes!A:A,Clientes!G:G,"No encontrado",0)</f>
        <v>AG05</v>
      </c>
      <c r="E162" s="9">
        <v>46155</v>
      </c>
      <c r="F162" s="10">
        <v>4.2691557930378633E-2</v>
      </c>
      <c r="G162" s="10">
        <f t="shared" si="8"/>
        <v>3.4898592969148101E-3</v>
      </c>
      <c r="H162" s="8">
        <v>6</v>
      </c>
      <c r="I162" s="11">
        <v>39699</v>
      </c>
      <c r="J162" s="9">
        <f t="shared" si="9"/>
        <v>46339</v>
      </c>
      <c r="K162" s="11">
        <f t="shared" ca="1" si="10"/>
        <v>39976.571347258439</v>
      </c>
      <c r="L162" s="11">
        <f ca="1">Tabla2[[#This Row],[SaldoActual]]-Tabla2[[#This Row],[MontoDepositado]]</f>
        <v>277.57134725843935</v>
      </c>
      <c r="M162" s="7" t="str">
        <f t="shared" ca="1" si="11"/>
        <v>Vigente</v>
      </c>
    </row>
    <row r="163" spans="1:13" x14ac:dyDescent="0.25">
      <c r="A163" t="s">
        <v>1418</v>
      </c>
      <c r="B163" t="s">
        <v>564</v>
      </c>
      <c r="C163" s="8" t="s">
        <v>48</v>
      </c>
      <c r="D163" s="8" t="str">
        <f>_xlfn.XLOOKUP(Tabla2[[#This Row],[ClienteID]],Clientes!A:A,Clientes!G:G,"No encontrado",0)</f>
        <v>AG03</v>
      </c>
      <c r="E163" s="9">
        <v>46111</v>
      </c>
      <c r="F163" s="10">
        <v>4.0914173482177421E-2</v>
      </c>
      <c r="G163" s="10">
        <f t="shared" si="8"/>
        <v>3.3472010760171589E-3</v>
      </c>
      <c r="H163" s="8">
        <v>6</v>
      </c>
      <c r="I163" s="11">
        <v>31581</v>
      </c>
      <c r="J163" s="9">
        <f t="shared" si="9"/>
        <v>46295</v>
      </c>
      <c r="K163" s="11">
        <f t="shared" ca="1" si="10"/>
        <v>32005.95952472333</v>
      </c>
      <c r="L163" s="11">
        <f ca="1">Tabla2[[#This Row],[SaldoActual]]-Tabla2[[#This Row],[MontoDepositado]]</f>
        <v>424.95952472333011</v>
      </c>
      <c r="M163" s="7" t="str">
        <f t="shared" ca="1" si="11"/>
        <v>Vigente</v>
      </c>
    </row>
    <row r="164" spans="1:13" x14ac:dyDescent="0.25">
      <c r="A164" t="s">
        <v>1419</v>
      </c>
      <c r="B164" t="s">
        <v>582</v>
      </c>
      <c r="C164" s="8" t="s">
        <v>46</v>
      </c>
      <c r="D164" s="8" t="str">
        <f>_xlfn.XLOOKUP(Tabla2[[#This Row],[ClienteID]],Clientes!A:A,Clientes!G:G,"No encontrado",0)</f>
        <v>AG05</v>
      </c>
      <c r="E164" s="9">
        <v>46153</v>
      </c>
      <c r="F164" s="10">
        <v>3.8458682890315933E-2</v>
      </c>
      <c r="G164" s="10">
        <f t="shared" si="8"/>
        <v>3.1497482462361504E-3</v>
      </c>
      <c r="H164" s="8">
        <v>3</v>
      </c>
      <c r="I164" s="11">
        <v>37022</v>
      </c>
      <c r="J164" s="9">
        <f t="shared" si="9"/>
        <v>46245</v>
      </c>
      <c r="K164" s="11">
        <f t="shared" ca="1" si="10"/>
        <v>37372.932971830007</v>
      </c>
      <c r="L164" s="11">
        <f ca="1">Tabla2[[#This Row],[SaldoActual]]-Tabla2[[#This Row],[MontoDepositado]]</f>
        <v>350.93297183000686</v>
      </c>
      <c r="M164" s="7" t="str">
        <f t="shared" ca="1" si="11"/>
        <v>Vencido</v>
      </c>
    </row>
    <row r="165" spans="1:13" x14ac:dyDescent="0.25">
      <c r="A165" t="s">
        <v>1420</v>
      </c>
      <c r="B165" t="s">
        <v>699</v>
      </c>
      <c r="C165" s="8" t="s">
        <v>45</v>
      </c>
      <c r="D165" s="8" t="str">
        <f>_xlfn.XLOOKUP(Tabla2[[#This Row],[ClienteID]],Clientes!A:A,Clientes!G:G,"No encontrado",0)</f>
        <v>AG04</v>
      </c>
      <c r="E165" s="9">
        <v>46114</v>
      </c>
      <c r="F165" s="10">
        <v>1.4241042040361061E-2</v>
      </c>
      <c r="G165" s="10">
        <f t="shared" si="8"/>
        <v>1.1790771458166649E-3</v>
      </c>
      <c r="H165" s="8"/>
      <c r="I165" s="11">
        <v>4660</v>
      </c>
      <c r="J165" s="9" t="str">
        <f t="shared" si="9"/>
        <v/>
      </c>
      <c r="K165" s="11">
        <f t="shared" ca="1" si="10"/>
        <v>4682.0168991940718</v>
      </c>
      <c r="L165" s="11">
        <f ca="1">Tabla2[[#This Row],[SaldoActual]]-Tabla2[[#This Row],[MontoDepositado]]</f>
        <v>22.016899194071812</v>
      </c>
      <c r="M165" s="7" t="str">
        <f t="shared" ca="1" si="11"/>
        <v>Vigente</v>
      </c>
    </row>
    <row r="166" spans="1:13" x14ac:dyDescent="0.25">
      <c r="A166" t="s">
        <v>1421</v>
      </c>
      <c r="B166" t="s">
        <v>332</v>
      </c>
      <c r="C166" s="8" t="s">
        <v>50</v>
      </c>
      <c r="D166" s="8" t="str">
        <f>_xlfn.XLOOKUP(Tabla2[[#This Row],[ClienteID]],Clientes!A:A,Clientes!G:G,"No encontrado",0)</f>
        <v>AG06</v>
      </c>
      <c r="E166" s="9">
        <v>45141</v>
      </c>
      <c r="F166" s="10">
        <v>6.1137165541472388E-2</v>
      </c>
      <c r="G166" s="10">
        <f t="shared" si="8"/>
        <v>4.9573413886372375E-3</v>
      </c>
      <c r="H166" s="8">
        <v>12</v>
      </c>
      <c r="I166" s="11">
        <v>18322</v>
      </c>
      <c r="J166" s="9">
        <f t="shared" si="9"/>
        <v>45507</v>
      </c>
      <c r="K166" s="11">
        <f t="shared" ca="1" si="10"/>
        <v>19442.15514705086</v>
      </c>
      <c r="L166" s="11">
        <f ca="1">Tabla2[[#This Row],[SaldoActual]]-Tabla2[[#This Row],[MontoDepositado]]</f>
        <v>1120.1551470508603</v>
      </c>
      <c r="M166" s="7" t="str">
        <f t="shared" ca="1" si="11"/>
        <v>Vencido</v>
      </c>
    </row>
    <row r="167" spans="1:13" x14ac:dyDescent="0.25">
      <c r="A167" t="s">
        <v>1422</v>
      </c>
      <c r="B167" t="s">
        <v>462</v>
      </c>
      <c r="C167" s="8" t="s">
        <v>50</v>
      </c>
      <c r="D167" s="8" t="str">
        <f>_xlfn.XLOOKUP(Tabla2[[#This Row],[ClienteID]],Clientes!A:A,Clientes!G:G,"No encontrado",0)</f>
        <v>AG03</v>
      </c>
      <c r="E167" s="9">
        <v>46014</v>
      </c>
      <c r="F167" s="10">
        <v>6.4216665661647521E-2</v>
      </c>
      <c r="G167" s="10">
        <f t="shared" si="8"/>
        <v>5.2000572195110006E-3</v>
      </c>
      <c r="H167" s="8">
        <v>12</v>
      </c>
      <c r="I167" s="11">
        <v>16153</v>
      </c>
      <c r="J167" s="9">
        <f t="shared" si="9"/>
        <v>46379</v>
      </c>
      <c r="K167" s="11">
        <f t="shared" ca="1" si="10"/>
        <v>16750.228101984416</v>
      </c>
      <c r="L167" s="11">
        <f ca="1">Tabla2[[#This Row],[SaldoActual]]-Tabla2[[#This Row],[MontoDepositado]]</f>
        <v>597.22810198441584</v>
      </c>
      <c r="M167" s="7" t="str">
        <f t="shared" ca="1" si="11"/>
        <v>Vigente</v>
      </c>
    </row>
    <row r="168" spans="1:13" x14ac:dyDescent="0.25">
      <c r="A168" t="s">
        <v>1423</v>
      </c>
      <c r="B168" t="s">
        <v>796</v>
      </c>
      <c r="C168" s="8" t="s">
        <v>45</v>
      </c>
      <c r="D168" s="8" t="str">
        <f>_xlfn.XLOOKUP(Tabla2[[#This Row],[ClienteID]],Clientes!A:A,Clientes!G:G,"No encontrado",0)</f>
        <v>AG02</v>
      </c>
      <c r="E168" s="9">
        <v>45731</v>
      </c>
      <c r="F168" s="10">
        <v>1.2868183025086282E-2</v>
      </c>
      <c r="G168" s="10">
        <f t="shared" si="8"/>
        <v>1.0660754760858371E-3</v>
      </c>
      <c r="H168" s="8"/>
      <c r="I168" s="11">
        <v>32364</v>
      </c>
      <c r="J168" s="9" t="str">
        <f t="shared" si="9"/>
        <v/>
      </c>
      <c r="K168" s="11">
        <f t="shared" ca="1" si="10"/>
        <v>32920.475370717817</v>
      </c>
      <c r="L168" s="11">
        <f ca="1">Tabla2[[#This Row],[SaldoActual]]-Tabla2[[#This Row],[MontoDepositado]]</f>
        <v>556.47537071781699</v>
      </c>
      <c r="M168" s="7" t="str">
        <f t="shared" ca="1" si="11"/>
        <v>Vigente</v>
      </c>
    </row>
    <row r="169" spans="1:13" x14ac:dyDescent="0.25">
      <c r="A169" t="s">
        <v>1424</v>
      </c>
      <c r="B169" t="s">
        <v>492</v>
      </c>
      <c r="C169" s="8" t="s">
        <v>50</v>
      </c>
      <c r="D169" s="8" t="str">
        <f>_xlfn.XLOOKUP(Tabla2[[#This Row],[ClienteID]],Clientes!A:A,Clientes!G:G,"No encontrado",0)</f>
        <v>AG03</v>
      </c>
      <c r="E169" s="9">
        <v>46183</v>
      </c>
      <c r="F169" s="10">
        <v>6.2923125603833174E-2</v>
      </c>
      <c r="G169" s="10">
        <f t="shared" si="8"/>
        <v>5.0981832684264816E-3</v>
      </c>
      <c r="H169" s="8">
        <v>12</v>
      </c>
      <c r="I169" s="11">
        <v>30012</v>
      </c>
      <c r="J169" s="9">
        <f t="shared" si="9"/>
        <v>46548</v>
      </c>
      <c r="K169" s="11">
        <f t="shared" ca="1" si="10"/>
        <v>30318.793408580856</v>
      </c>
      <c r="L169" s="11">
        <f ca="1">Tabla2[[#This Row],[SaldoActual]]-Tabla2[[#This Row],[MontoDepositado]]</f>
        <v>306.79340858085561</v>
      </c>
      <c r="M169" s="7" t="str">
        <f t="shared" ca="1" si="11"/>
        <v>Vigente</v>
      </c>
    </row>
    <row r="170" spans="1:13" x14ac:dyDescent="0.25">
      <c r="A170" t="s">
        <v>1425</v>
      </c>
      <c r="B170" t="s">
        <v>681</v>
      </c>
      <c r="C170" s="8" t="s">
        <v>45</v>
      </c>
      <c r="D170" s="8" t="str">
        <f>_xlfn.XLOOKUP(Tabla2[[#This Row],[ClienteID]],Clientes!A:A,Clientes!G:G,"No encontrado",0)</f>
        <v>AG04</v>
      </c>
      <c r="E170" s="9">
        <v>46208</v>
      </c>
      <c r="F170" s="10">
        <v>9.3021458084776992E-3</v>
      </c>
      <c r="G170" s="10">
        <f t="shared" si="8"/>
        <v>7.7189336453176161E-4</v>
      </c>
      <c r="H170" s="8"/>
      <c r="I170" s="11">
        <v>1962</v>
      </c>
      <c r="J170" s="9" t="str">
        <f t="shared" si="9"/>
        <v/>
      </c>
      <c r="K170" s="11">
        <f t="shared" ca="1" si="10"/>
        <v>1963.5144547812113</v>
      </c>
      <c r="L170" s="11">
        <f ca="1">Tabla2[[#This Row],[SaldoActual]]-Tabla2[[#This Row],[MontoDepositado]]</f>
        <v>1.5144547812112705</v>
      </c>
      <c r="M170" s="7" t="str">
        <f t="shared" ca="1" si="11"/>
        <v>Vigente</v>
      </c>
    </row>
    <row r="171" spans="1:13" x14ac:dyDescent="0.25">
      <c r="A171" t="s">
        <v>1426</v>
      </c>
      <c r="B171" t="s">
        <v>790</v>
      </c>
      <c r="C171" s="8" t="s">
        <v>48</v>
      </c>
      <c r="D171" s="8" t="str">
        <f>_xlfn.XLOOKUP(Tabla2[[#This Row],[ClienteID]],Clientes!A:A,Clientes!G:G,"No encontrado",0)</f>
        <v>AG05</v>
      </c>
      <c r="E171" s="9">
        <v>46124</v>
      </c>
      <c r="F171" s="10">
        <v>4.4145306463540493E-2</v>
      </c>
      <c r="G171" s="10">
        <f t="shared" si="8"/>
        <v>3.6063758986009109E-3</v>
      </c>
      <c r="H171" s="8">
        <v>6</v>
      </c>
      <c r="I171" s="11">
        <v>47991</v>
      </c>
      <c r="J171" s="9">
        <f t="shared" si="9"/>
        <v>46307</v>
      </c>
      <c r="K171" s="11">
        <f t="shared" ca="1" si="10"/>
        <v>48687.048365510534</v>
      </c>
      <c r="L171" s="11">
        <f ca="1">Tabla2[[#This Row],[SaldoActual]]-Tabla2[[#This Row],[MontoDepositado]]</f>
        <v>696.0483655105345</v>
      </c>
      <c r="M171" s="7" t="str">
        <f t="shared" ca="1" si="11"/>
        <v>Vigente</v>
      </c>
    </row>
    <row r="172" spans="1:13" x14ac:dyDescent="0.25">
      <c r="A172" t="s">
        <v>1427</v>
      </c>
      <c r="B172" t="s">
        <v>429</v>
      </c>
      <c r="C172" s="8" t="s">
        <v>46</v>
      </c>
      <c r="D172" s="8" t="str">
        <f>_xlfn.XLOOKUP(Tabla2[[#This Row],[ClienteID]],Clientes!A:A,Clientes!G:G,"No encontrado",0)</f>
        <v>AG06</v>
      </c>
      <c r="E172" s="9">
        <v>45846</v>
      </c>
      <c r="F172" s="10">
        <v>3.2208122291468209E-2</v>
      </c>
      <c r="G172" s="10">
        <f t="shared" si="8"/>
        <v>2.645185313260523E-3</v>
      </c>
      <c r="H172" s="8">
        <v>3</v>
      </c>
      <c r="I172" s="11">
        <v>910</v>
      </c>
      <c r="J172" s="9">
        <f t="shared" si="9"/>
        <v>45938</v>
      </c>
      <c r="K172" s="11">
        <f t="shared" ca="1" si="10"/>
        <v>917.24047457240545</v>
      </c>
      <c r="L172" s="11">
        <f ca="1">Tabla2[[#This Row],[SaldoActual]]-Tabla2[[#This Row],[MontoDepositado]]</f>
        <v>7.2404745724054465</v>
      </c>
      <c r="M172" s="7" t="str">
        <f t="shared" ca="1" si="11"/>
        <v>Vencido</v>
      </c>
    </row>
    <row r="173" spans="1:13" x14ac:dyDescent="0.25">
      <c r="A173" t="s">
        <v>1428</v>
      </c>
      <c r="B173" t="s">
        <v>813</v>
      </c>
      <c r="C173" s="8" t="s">
        <v>52</v>
      </c>
      <c r="D173" s="8" t="str">
        <f>_xlfn.XLOOKUP(Tabla2[[#This Row],[ClienteID]],Clientes!A:A,Clientes!G:G,"No encontrado",0)</f>
        <v>AG05</v>
      </c>
      <c r="E173" s="9">
        <v>46017</v>
      </c>
      <c r="F173" s="10">
        <v>4.3223896875323034E-2</v>
      </c>
      <c r="G173" s="10">
        <f t="shared" si="8"/>
        <v>3.5325430423465143E-3</v>
      </c>
      <c r="H173" s="8">
        <v>6</v>
      </c>
      <c r="I173" s="11">
        <v>45292</v>
      </c>
      <c r="J173" s="9">
        <f t="shared" si="9"/>
        <v>46199</v>
      </c>
      <c r="K173" s="11">
        <f t="shared" ca="1" si="10"/>
        <v>46260.493562269279</v>
      </c>
      <c r="L173" s="11">
        <f ca="1">Tabla2[[#This Row],[SaldoActual]]-Tabla2[[#This Row],[MontoDepositado]]</f>
        <v>968.49356226927921</v>
      </c>
      <c r="M173" s="7" t="str">
        <f t="shared" ca="1" si="11"/>
        <v>Vencido</v>
      </c>
    </row>
    <row r="174" spans="1:13" x14ac:dyDescent="0.25">
      <c r="A174" t="s">
        <v>1429</v>
      </c>
      <c r="B174" t="s">
        <v>100</v>
      </c>
      <c r="C174" s="8" t="s">
        <v>45</v>
      </c>
      <c r="D174" s="8" t="str">
        <f>_xlfn.XLOOKUP(Tabla2[[#This Row],[ClienteID]],Clientes!A:A,Clientes!G:G,"No encontrado",0)</f>
        <v>AG05</v>
      </c>
      <c r="E174" s="9">
        <v>45829</v>
      </c>
      <c r="F174" s="10">
        <v>1.1516753250486487E-2</v>
      </c>
      <c r="G174" s="10">
        <f t="shared" si="8"/>
        <v>9.5470045888879085E-4</v>
      </c>
      <c r="H174" s="8"/>
      <c r="I174" s="11">
        <v>22033</v>
      </c>
      <c r="J174" s="9" t="str">
        <f t="shared" si="9"/>
        <v/>
      </c>
      <c r="K174" s="11">
        <f t="shared" ca="1" si="10"/>
        <v>22308.025793506815</v>
      </c>
      <c r="L174" s="11">
        <f ca="1">Tabla2[[#This Row],[SaldoActual]]-Tabla2[[#This Row],[MontoDepositado]]</f>
        <v>275.02579350681481</v>
      </c>
      <c r="M174" s="7" t="str">
        <f t="shared" ca="1" si="11"/>
        <v>Vigente</v>
      </c>
    </row>
    <row r="175" spans="1:13" x14ac:dyDescent="0.25">
      <c r="A175" t="s">
        <v>1430</v>
      </c>
      <c r="B175" t="s">
        <v>276</v>
      </c>
      <c r="C175" s="8" t="s">
        <v>45</v>
      </c>
      <c r="D175" s="8" t="str">
        <f>_xlfn.XLOOKUP(Tabla2[[#This Row],[ClienteID]],Clientes!A:A,Clientes!G:G,"No encontrado",0)</f>
        <v>AG04</v>
      </c>
      <c r="E175" s="9">
        <v>46216</v>
      </c>
      <c r="F175" s="10">
        <v>1.4880922561041916E-2</v>
      </c>
      <c r="G175" s="10">
        <f t="shared" si="8"/>
        <v>1.2316985798785929E-3</v>
      </c>
      <c r="H175" s="8"/>
      <c r="I175" s="11">
        <v>48807</v>
      </c>
      <c r="J175" s="9" t="str">
        <f t="shared" si="9"/>
        <v/>
      </c>
      <c r="K175" s="11">
        <f t="shared" ca="1" si="10"/>
        <v>48807</v>
      </c>
      <c r="L175" s="11">
        <f ca="1">Tabla2[[#This Row],[SaldoActual]]-Tabla2[[#This Row],[MontoDepositado]]</f>
        <v>0</v>
      </c>
      <c r="M175" s="7" t="str">
        <f t="shared" ca="1" si="11"/>
        <v>Vigente</v>
      </c>
    </row>
    <row r="176" spans="1:13" x14ac:dyDescent="0.25">
      <c r="A176" t="s">
        <v>1431</v>
      </c>
      <c r="B176" t="s">
        <v>783</v>
      </c>
      <c r="C176" s="8" t="s">
        <v>52</v>
      </c>
      <c r="D176" s="8" t="str">
        <f>_xlfn.XLOOKUP(Tabla2[[#This Row],[ClienteID]],Clientes!A:A,Clientes!G:G,"No encontrado",0)</f>
        <v>AG02</v>
      </c>
      <c r="E176" s="9">
        <v>44987</v>
      </c>
      <c r="F176" s="10">
        <v>3.1628073708077117E-2</v>
      </c>
      <c r="G176" s="10">
        <f t="shared" si="8"/>
        <v>2.5982202396186427E-3</v>
      </c>
      <c r="H176" s="8">
        <v>6</v>
      </c>
      <c r="I176" s="11">
        <v>37484</v>
      </c>
      <c r="J176" s="9">
        <f t="shared" si="9"/>
        <v>45171</v>
      </c>
      <c r="K176" s="11">
        <f t="shared" ca="1" si="10"/>
        <v>38072.158975560094</v>
      </c>
      <c r="L176" s="11">
        <f ca="1">Tabla2[[#This Row],[SaldoActual]]-Tabla2[[#This Row],[MontoDepositado]]</f>
        <v>588.1589755600944</v>
      </c>
      <c r="M176" s="7" t="str">
        <f t="shared" ca="1" si="11"/>
        <v>Vencido</v>
      </c>
    </row>
    <row r="177" spans="1:13" x14ac:dyDescent="0.25">
      <c r="A177" t="s">
        <v>1432</v>
      </c>
      <c r="B177" t="s">
        <v>413</v>
      </c>
      <c r="C177" s="8" t="s">
        <v>48</v>
      </c>
      <c r="D177" s="8" t="str">
        <f>_xlfn.XLOOKUP(Tabla2[[#This Row],[ClienteID]],Clientes!A:A,Clientes!G:G,"No encontrado",0)</f>
        <v>AG06</v>
      </c>
      <c r="E177" s="9">
        <v>46165</v>
      </c>
      <c r="F177" s="10">
        <v>4.1665311584570708E-2</v>
      </c>
      <c r="G177" s="10">
        <f t="shared" si="8"/>
        <v>3.407516900957086E-3</v>
      </c>
      <c r="H177" s="8">
        <v>6</v>
      </c>
      <c r="I177" s="11">
        <v>41239</v>
      </c>
      <c r="J177" s="9">
        <f t="shared" si="9"/>
        <v>46349</v>
      </c>
      <c r="K177" s="11">
        <f t="shared" ca="1" si="10"/>
        <v>41520.524012055757</v>
      </c>
      <c r="L177" s="11">
        <f ca="1">Tabla2[[#This Row],[SaldoActual]]-Tabla2[[#This Row],[MontoDepositado]]</f>
        <v>281.52401205575734</v>
      </c>
      <c r="M177" s="7" t="str">
        <f t="shared" ca="1" si="11"/>
        <v>Vigente</v>
      </c>
    </row>
    <row r="178" spans="1:13" x14ac:dyDescent="0.25">
      <c r="A178" t="s">
        <v>1433</v>
      </c>
      <c r="B178" t="s">
        <v>435</v>
      </c>
      <c r="C178" s="8" t="s">
        <v>46</v>
      </c>
      <c r="D178" s="8" t="str">
        <f>_xlfn.XLOOKUP(Tabla2[[#This Row],[ClienteID]],Clientes!A:A,Clientes!G:G,"No encontrado",0)</f>
        <v>AG01</v>
      </c>
      <c r="E178" s="9">
        <v>46109</v>
      </c>
      <c r="F178" s="10">
        <v>3.1253863998376777E-2</v>
      </c>
      <c r="G178" s="10">
        <f t="shared" si="8"/>
        <v>2.5679085742804642E-3</v>
      </c>
      <c r="H178" s="8">
        <v>3</v>
      </c>
      <c r="I178" s="11">
        <v>8293</v>
      </c>
      <c r="J178" s="9">
        <f t="shared" si="9"/>
        <v>46201</v>
      </c>
      <c r="K178" s="11">
        <f t="shared" ca="1" si="10"/>
        <v>8357.0511938148902</v>
      </c>
      <c r="L178" s="11">
        <f ca="1">Tabla2[[#This Row],[SaldoActual]]-Tabla2[[#This Row],[MontoDepositado]]</f>
        <v>64.051193814890212</v>
      </c>
      <c r="M178" s="7" t="str">
        <f t="shared" ca="1" si="11"/>
        <v>Vencido</v>
      </c>
    </row>
    <row r="179" spans="1:13" x14ac:dyDescent="0.25">
      <c r="A179" t="s">
        <v>1434</v>
      </c>
      <c r="B179" t="s">
        <v>123</v>
      </c>
      <c r="C179" s="8" t="s">
        <v>50</v>
      </c>
      <c r="D179" s="8" t="str">
        <f>_xlfn.XLOOKUP(Tabla2[[#This Row],[ClienteID]],Clientes!A:A,Clientes!G:G,"No encontrado",0)</f>
        <v>AG03</v>
      </c>
      <c r="E179" s="9">
        <v>46093</v>
      </c>
      <c r="F179" s="10">
        <v>6.2342379795063387E-2</v>
      </c>
      <c r="G179" s="10">
        <f t="shared" si="8"/>
        <v>5.0524091225052636E-3</v>
      </c>
      <c r="H179" s="8">
        <v>12</v>
      </c>
      <c r="I179" s="11">
        <v>742</v>
      </c>
      <c r="J179" s="9">
        <f t="shared" si="9"/>
        <v>46458</v>
      </c>
      <c r="K179" s="11">
        <f t="shared" ca="1" si="10"/>
        <v>760.93480637442337</v>
      </c>
      <c r="L179" s="11">
        <f ca="1">Tabla2[[#This Row],[SaldoActual]]-Tabla2[[#This Row],[MontoDepositado]]</f>
        <v>18.934806374423374</v>
      </c>
      <c r="M179" s="7" t="str">
        <f t="shared" ca="1" si="11"/>
        <v>Vigente</v>
      </c>
    </row>
    <row r="180" spans="1:13" x14ac:dyDescent="0.25">
      <c r="A180" t="s">
        <v>1435</v>
      </c>
      <c r="B180" t="s">
        <v>186</v>
      </c>
      <c r="C180" s="8" t="s">
        <v>48</v>
      </c>
      <c r="D180" s="8" t="str">
        <f>_xlfn.XLOOKUP(Tabla2[[#This Row],[ClienteID]],Clientes!A:A,Clientes!G:G,"No encontrado",0)</f>
        <v>AG06</v>
      </c>
      <c r="E180" s="9">
        <v>46057</v>
      </c>
      <c r="F180" s="10">
        <v>4.4238629393405282E-2</v>
      </c>
      <c r="G180" s="10">
        <f t="shared" si="8"/>
        <v>3.6138505647500541E-3</v>
      </c>
      <c r="H180" s="8">
        <v>6</v>
      </c>
      <c r="I180" s="11">
        <v>2512</v>
      </c>
      <c r="J180" s="9">
        <f t="shared" si="9"/>
        <v>46238</v>
      </c>
      <c r="K180" s="11">
        <f t="shared" ca="1" si="10"/>
        <v>2566.9624309356404</v>
      </c>
      <c r="L180" s="11">
        <f ca="1">Tabla2[[#This Row],[SaldoActual]]-Tabla2[[#This Row],[MontoDepositado]]</f>
        <v>54.962430935640441</v>
      </c>
      <c r="M180" s="7" t="str">
        <f t="shared" ca="1" si="11"/>
        <v>Vencido</v>
      </c>
    </row>
    <row r="181" spans="1:13" x14ac:dyDescent="0.25">
      <c r="A181" t="s">
        <v>1436</v>
      </c>
      <c r="B181" t="s">
        <v>459</v>
      </c>
      <c r="C181" s="8" t="s">
        <v>48</v>
      </c>
      <c r="D181" s="8" t="str">
        <f>_xlfn.XLOOKUP(Tabla2[[#This Row],[ClienteID]],Clientes!A:A,Clientes!G:G,"No encontrado",0)</f>
        <v>AG01</v>
      </c>
      <c r="E181" s="9">
        <v>46034</v>
      </c>
      <c r="F181" s="10">
        <v>4.773067914824209E-2</v>
      </c>
      <c r="G181" s="10">
        <f t="shared" si="8"/>
        <v>3.8931058025566401E-3</v>
      </c>
      <c r="H181" s="8">
        <v>6</v>
      </c>
      <c r="I181" s="11">
        <v>22876</v>
      </c>
      <c r="J181" s="9">
        <f t="shared" si="9"/>
        <v>46215</v>
      </c>
      <c r="K181" s="11">
        <f t="shared" ca="1" si="10"/>
        <v>23415.579928382751</v>
      </c>
      <c r="L181" s="11">
        <f ca="1">Tabla2[[#This Row],[SaldoActual]]-Tabla2[[#This Row],[MontoDepositado]]</f>
        <v>539.57992838275095</v>
      </c>
      <c r="M181" s="7" t="str">
        <f t="shared" ca="1" si="11"/>
        <v>Vencido</v>
      </c>
    </row>
    <row r="182" spans="1:13" x14ac:dyDescent="0.25">
      <c r="A182" t="s">
        <v>1437</v>
      </c>
      <c r="B182" t="s">
        <v>269</v>
      </c>
      <c r="C182" s="8" t="s">
        <v>48</v>
      </c>
      <c r="D182" s="8" t="str">
        <f>_xlfn.XLOOKUP(Tabla2[[#This Row],[ClienteID]],Clientes!A:A,Clientes!G:G,"No encontrado",0)</f>
        <v>AG06</v>
      </c>
      <c r="E182" s="9">
        <v>45604</v>
      </c>
      <c r="F182" s="10">
        <v>4.6629703767453901E-2</v>
      </c>
      <c r="G182" s="10">
        <f t="shared" si="8"/>
        <v>3.8051542662698168E-3</v>
      </c>
      <c r="H182" s="8">
        <v>6</v>
      </c>
      <c r="I182" s="11">
        <v>13169</v>
      </c>
      <c r="J182" s="9">
        <f t="shared" si="9"/>
        <v>45785</v>
      </c>
      <c r="K182" s="11">
        <f t="shared" ca="1" si="10"/>
        <v>13472.535160318674</v>
      </c>
      <c r="L182" s="11">
        <f ca="1">Tabla2[[#This Row],[SaldoActual]]-Tabla2[[#This Row],[MontoDepositado]]</f>
        <v>303.53516031867366</v>
      </c>
      <c r="M182" s="7" t="str">
        <f t="shared" ca="1" si="11"/>
        <v>Vencido</v>
      </c>
    </row>
    <row r="183" spans="1:13" x14ac:dyDescent="0.25">
      <c r="A183" t="s">
        <v>1438</v>
      </c>
      <c r="B183" t="s">
        <v>774</v>
      </c>
      <c r="C183" s="8" t="s">
        <v>46</v>
      </c>
      <c r="D183" s="8" t="str">
        <f>_xlfn.XLOOKUP(Tabla2[[#This Row],[ClienteID]],Clientes!A:A,Clientes!G:G,"No encontrado",0)</f>
        <v>AG03</v>
      </c>
      <c r="E183" s="9">
        <v>46232</v>
      </c>
      <c r="F183" s="10">
        <v>3.2281840116687111E-2</v>
      </c>
      <c r="G183" s="10">
        <f t="shared" si="8"/>
        <v>2.6511523272156889E-3</v>
      </c>
      <c r="H183" s="8">
        <v>3</v>
      </c>
      <c r="I183" s="11">
        <v>34490</v>
      </c>
      <c r="J183" s="9">
        <f t="shared" si="9"/>
        <v>46324</v>
      </c>
      <c r="K183" s="11">
        <f t="shared" ca="1" si="10"/>
        <v>34490</v>
      </c>
      <c r="L183" s="11">
        <f ca="1">Tabla2[[#This Row],[SaldoActual]]-Tabla2[[#This Row],[MontoDepositado]]</f>
        <v>0</v>
      </c>
      <c r="M183" s="7" t="str">
        <f t="shared" ca="1" si="11"/>
        <v>Vigente</v>
      </c>
    </row>
    <row r="184" spans="1:13" x14ac:dyDescent="0.25">
      <c r="A184" t="s">
        <v>1439</v>
      </c>
      <c r="B184" t="s">
        <v>232</v>
      </c>
      <c r="C184" s="8" t="s">
        <v>50</v>
      </c>
      <c r="D184" s="8" t="str">
        <f>_xlfn.XLOOKUP(Tabla2[[#This Row],[ClienteID]],Clientes!A:A,Clientes!G:G,"No encontrado",0)</f>
        <v>AG03</v>
      </c>
      <c r="E184" s="9">
        <v>46088</v>
      </c>
      <c r="F184" s="10">
        <v>6.770007468253067E-2</v>
      </c>
      <c r="G184" s="10">
        <f t="shared" si="8"/>
        <v>5.4738329891557136E-3</v>
      </c>
      <c r="H184" s="8">
        <v>12</v>
      </c>
      <c r="I184" s="11">
        <v>48175</v>
      </c>
      <c r="J184" s="9">
        <f t="shared" si="9"/>
        <v>46453</v>
      </c>
      <c r="K184" s="11">
        <f t="shared" ca="1" si="10"/>
        <v>49508.023352178214</v>
      </c>
      <c r="L184" s="11">
        <f ca="1">Tabla2[[#This Row],[SaldoActual]]-Tabla2[[#This Row],[MontoDepositado]]</f>
        <v>1333.0233521782138</v>
      </c>
      <c r="M184" s="7" t="str">
        <f t="shared" ca="1" si="11"/>
        <v>Vigente</v>
      </c>
    </row>
    <row r="185" spans="1:13" x14ac:dyDescent="0.25">
      <c r="A185" t="s">
        <v>1440</v>
      </c>
      <c r="B185" t="s">
        <v>579</v>
      </c>
      <c r="C185" s="8" t="s">
        <v>52</v>
      </c>
      <c r="D185" s="8" t="str">
        <f>_xlfn.XLOOKUP(Tabla2[[#This Row],[ClienteID]],Clientes!A:A,Clientes!G:G,"No encontrado",0)</f>
        <v>AG07</v>
      </c>
      <c r="E185" s="9">
        <v>46087</v>
      </c>
      <c r="F185" s="10">
        <v>3.5100690223545894E-2</v>
      </c>
      <c r="G185" s="10">
        <f t="shared" si="8"/>
        <v>2.8790287345907828E-3</v>
      </c>
      <c r="H185" s="8">
        <v>6</v>
      </c>
      <c r="I185" s="11">
        <v>28473</v>
      </c>
      <c r="J185" s="9">
        <f t="shared" si="9"/>
        <v>46271</v>
      </c>
      <c r="K185" s="11">
        <f t="shared" ca="1" si="10"/>
        <v>28885.239802163254</v>
      </c>
      <c r="L185" s="11">
        <f ca="1">Tabla2[[#This Row],[SaldoActual]]-Tabla2[[#This Row],[MontoDepositado]]</f>
        <v>412.23980216325435</v>
      </c>
      <c r="M185" s="7" t="str">
        <f t="shared" ca="1" si="11"/>
        <v>Vigente</v>
      </c>
    </row>
    <row r="186" spans="1:13" x14ac:dyDescent="0.25">
      <c r="A186" t="s">
        <v>1441</v>
      </c>
      <c r="B186" t="s">
        <v>133</v>
      </c>
      <c r="C186" s="8" t="s">
        <v>50</v>
      </c>
      <c r="D186" s="8" t="str">
        <f>_xlfn.XLOOKUP(Tabla2[[#This Row],[ClienteID]],Clientes!A:A,Clientes!G:G,"No encontrado",0)</f>
        <v>AG01</v>
      </c>
      <c r="E186" s="9">
        <v>46200</v>
      </c>
      <c r="F186" s="10">
        <v>6.0315351655448012E-2</v>
      </c>
      <c r="G186" s="10">
        <f t="shared" si="8"/>
        <v>4.8924596411878962E-3</v>
      </c>
      <c r="H186" s="8">
        <v>12</v>
      </c>
      <c r="I186" s="11">
        <v>6267</v>
      </c>
      <c r="J186" s="9">
        <f t="shared" si="9"/>
        <v>46565</v>
      </c>
      <c r="K186" s="11">
        <f t="shared" ca="1" si="10"/>
        <v>6297.661044571325</v>
      </c>
      <c r="L186" s="11">
        <f ca="1">Tabla2[[#This Row],[SaldoActual]]-Tabla2[[#This Row],[MontoDepositado]]</f>
        <v>30.661044571324965</v>
      </c>
      <c r="M186" s="7" t="str">
        <f t="shared" ca="1" si="11"/>
        <v>Vigente</v>
      </c>
    </row>
    <row r="187" spans="1:13" x14ac:dyDescent="0.25">
      <c r="A187" t="s">
        <v>1442</v>
      </c>
      <c r="B187" t="s">
        <v>222</v>
      </c>
      <c r="C187" s="8" t="s">
        <v>48</v>
      </c>
      <c r="D187" s="8" t="str">
        <f>_xlfn.XLOOKUP(Tabla2[[#This Row],[ClienteID]],Clientes!A:A,Clientes!G:G,"No encontrado",0)</f>
        <v>AG02</v>
      </c>
      <c r="E187" s="9">
        <v>46177</v>
      </c>
      <c r="F187" s="10">
        <v>4.6424182386487156E-2</v>
      </c>
      <c r="G187" s="10">
        <f t="shared" si="8"/>
        <v>3.7887267760008392E-3</v>
      </c>
      <c r="H187" s="8">
        <v>6</v>
      </c>
      <c r="I187" s="11">
        <v>22696</v>
      </c>
      <c r="J187" s="9">
        <f t="shared" si="9"/>
        <v>46360</v>
      </c>
      <c r="K187" s="11">
        <f t="shared" ca="1" si="10"/>
        <v>22868.303674426668</v>
      </c>
      <c r="L187" s="11">
        <f ca="1">Tabla2[[#This Row],[SaldoActual]]-Tabla2[[#This Row],[MontoDepositado]]</f>
        <v>172.30367442666829</v>
      </c>
      <c r="M187" s="7" t="str">
        <f t="shared" ca="1" si="11"/>
        <v>Vigente</v>
      </c>
    </row>
    <row r="188" spans="1:13" x14ac:dyDescent="0.25">
      <c r="A188" t="s">
        <v>1443</v>
      </c>
      <c r="B188" t="s">
        <v>344</v>
      </c>
      <c r="C188" s="8" t="s">
        <v>52</v>
      </c>
      <c r="D188" s="8" t="str">
        <f>_xlfn.XLOOKUP(Tabla2[[#This Row],[ClienteID]],Clientes!A:A,Clientes!G:G,"No encontrado",0)</f>
        <v>AG04</v>
      </c>
      <c r="E188" s="9">
        <v>46206</v>
      </c>
      <c r="F188" s="10">
        <v>3.6307713938645091E-2</v>
      </c>
      <c r="G188" s="10">
        <f t="shared" si="8"/>
        <v>2.9764308763764458E-3</v>
      </c>
      <c r="H188" s="8">
        <v>6</v>
      </c>
      <c r="I188" s="11">
        <v>44350</v>
      </c>
      <c r="J188" s="9">
        <f t="shared" si="9"/>
        <v>46390</v>
      </c>
      <c r="K188" s="11">
        <f t="shared" ca="1" si="10"/>
        <v>44482.004709367298</v>
      </c>
      <c r="L188" s="11">
        <f ca="1">Tabla2[[#This Row],[SaldoActual]]-Tabla2[[#This Row],[MontoDepositado]]</f>
        <v>132.00470936729835</v>
      </c>
      <c r="M188" s="7" t="str">
        <f t="shared" ca="1" si="11"/>
        <v>Vigente</v>
      </c>
    </row>
    <row r="189" spans="1:13" x14ac:dyDescent="0.25">
      <c r="A189" t="s">
        <v>1444</v>
      </c>
      <c r="B189" t="s">
        <v>195</v>
      </c>
      <c r="C189" s="8" t="s">
        <v>52</v>
      </c>
      <c r="D189" s="8" t="str">
        <f>_xlfn.XLOOKUP(Tabla2[[#This Row],[ClienteID]],Clientes!A:A,Clientes!G:G,"No encontrado",0)</f>
        <v>AG03</v>
      </c>
      <c r="E189" s="9">
        <v>46073</v>
      </c>
      <c r="F189" s="10">
        <v>4.3613208340965055E-2</v>
      </c>
      <c r="G189" s="10">
        <f t="shared" si="8"/>
        <v>3.5637459891815215E-3</v>
      </c>
      <c r="H189" s="8">
        <v>6</v>
      </c>
      <c r="I189" s="11">
        <v>46683</v>
      </c>
      <c r="J189" s="9">
        <f t="shared" si="9"/>
        <v>46254</v>
      </c>
      <c r="K189" s="11">
        <f t="shared" ca="1" si="10"/>
        <v>47520.781811011228</v>
      </c>
      <c r="L189" s="11">
        <f ca="1">Tabla2[[#This Row],[SaldoActual]]-Tabla2[[#This Row],[MontoDepositado]]</f>
        <v>837.78181101122755</v>
      </c>
      <c r="M189" s="7" t="str">
        <f t="shared" ca="1" si="11"/>
        <v>Vigente</v>
      </c>
    </row>
    <row r="190" spans="1:13" x14ac:dyDescent="0.25">
      <c r="A190" t="s">
        <v>1445</v>
      </c>
      <c r="B190" t="s">
        <v>80</v>
      </c>
      <c r="C190" s="8" t="s">
        <v>52</v>
      </c>
      <c r="D190" s="8" t="str">
        <f>_xlfn.XLOOKUP(Tabla2[[#This Row],[ClienteID]],Clientes!A:A,Clientes!G:G,"No encontrado",0)</f>
        <v>AG04</v>
      </c>
      <c r="E190" s="9">
        <v>46228</v>
      </c>
      <c r="F190" s="10">
        <v>3.8339423775577114E-2</v>
      </c>
      <c r="G190" s="10">
        <f t="shared" si="8"/>
        <v>3.140147394956383E-3</v>
      </c>
      <c r="H190" s="8">
        <v>6</v>
      </c>
      <c r="I190" s="11">
        <v>48876</v>
      </c>
      <c r="J190" s="9">
        <f t="shared" si="9"/>
        <v>46412</v>
      </c>
      <c r="K190" s="11">
        <f t="shared" ca="1" si="10"/>
        <v>48876</v>
      </c>
      <c r="L190" s="11">
        <f ca="1">Tabla2[[#This Row],[SaldoActual]]-Tabla2[[#This Row],[MontoDepositado]]</f>
        <v>0</v>
      </c>
      <c r="M190" s="7" t="str">
        <f t="shared" ca="1" si="11"/>
        <v>Vigente</v>
      </c>
    </row>
    <row r="191" spans="1:13" x14ac:dyDescent="0.25">
      <c r="A191" t="s">
        <v>1446</v>
      </c>
      <c r="B191" t="s">
        <v>149</v>
      </c>
      <c r="C191" s="8" t="s">
        <v>52</v>
      </c>
      <c r="D191" s="8" t="str">
        <f>_xlfn.XLOOKUP(Tabla2[[#This Row],[ClienteID]],Clientes!A:A,Clientes!G:G,"No encontrado",0)</f>
        <v>AG08</v>
      </c>
      <c r="E191" s="9">
        <v>45977</v>
      </c>
      <c r="F191" s="10">
        <v>4.192498197115728E-2</v>
      </c>
      <c r="G191" s="10">
        <f t="shared" si="8"/>
        <v>3.4283589642933876E-3</v>
      </c>
      <c r="H191" s="8">
        <v>6</v>
      </c>
      <c r="I191" s="11">
        <v>48585</v>
      </c>
      <c r="J191" s="9">
        <f t="shared" si="9"/>
        <v>46158</v>
      </c>
      <c r="K191" s="11">
        <f t="shared" ca="1" si="10"/>
        <v>49593.005940616276</v>
      </c>
      <c r="L191" s="11">
        <f ca="1">Tabla2[[#This Row],[SaldoActual]]-Tabla2[[#This Row],[MontoDepositado]]</f>
        <v>1008.0059406162763</v>
      </c>
      <c r="M191" s="7" t="str">
        <f t="shared" ca="1" si="11"/>
        <v>Vencido</v>
      </c>
    </row>
    <row r="192" spans="1:13" x14ac:dyDescent="0.25">
      <c r="A192" t="s">
        <v>1447</v>
      </c>
      <c r="B192" t="s">
        <v>678</v>
      </c>
      <c r="C192" s="8" t="s">
        <v>45</v>
      </c>
      <c r="D192" s="8" t="str">
        <f>_xlfn.XLOOKUP(Tabla2[[#This Row],[ClienteID]],Clientes!A:A,Clientes!G:G,"No encontrado",0)</f>
        <v>AG05</v>
      </c>
      <c r="E192" s="9">
        <v>45988</v>
      </c>
      <c r="F192" s="10">
        <v>7.459193371035829E-3</v>
      </c>
      <c r="G192" s="10">
        <f t="shared" si="8"/>
        <v>6.1948439799386357E-4</v>
      </c>
      <c r="H192" s="8"/>
      <c r="I192" s="11">
        <v>1039</v>
      </c>
      <c r="J192" s="9" t="str">
        <f t="shared" si="9"/>
        <v/>
      </c>
      <c r="K192" s="11">
        <f t="shared" ca="1" si="10"/>
        <v>1044.1603325318163</v>
      </c>
      <c r="L192" s="11">
        <f ca="1">Tabla2[[#This Row],[SaldoActual]]-Tabla2[[#This Row],[MontoDepositado]]</f>
        <v>5.1603325318162661</v>
      </c>
      <c r="M192" s="7" t="str">
        <f t="shared" ca="1" si="11"/>
        <v>Vigente</v>
      </c>
    </row>
    <row r="193" spans="1:13" x14ac:dyDescent="0.25">
      <c r="A193" t="s">
        <v>1448</v>
      </c>
      <c r="B193" t="s">
        <v>588</v>
      </c>
      <c r="C193" s="8" t="s">
        <v>45</v>
      </c>
      <c r="D193" s="8" t="str">
        <f>_xlfn.XLOOKUP(Tabla2[[#This Row],[ClienteID]],Clientes!A:A,Clientes!G:G,"No encontrado",0)</f>
        <v>AG08</v>
      </c>
      <c r="E193" s="9">
        <v>45160</v>
      </c>
      <c r="F193" s="10">
        <v>8.8745667757434941E-3</v>
      </c>
      <c r="G193" s="10">
        <f t="shared" si="8"/>
        <v>7.3655606171652011E-4</v>
      </c>
      <c r="H193" s="8"/>
      <c r="I193" s="11">
        <v>28591</v>
      </c>
      <c r="J193" s="9" t="str">
        <f t="shared" si="9"/>
        <v/>
      </c>
      <c r="K193" s="11">
        <f t="shared" ca="1" si="10"/>
        <v>29337.364889976019</v>
      </c>
      <c r="L193" s="11">
        <f ca="1">Tabla2[[#This Row],[SaldoActual]]-Tabla2[[#This Row],[MontoDepositado]]</f>
        <v>746.36488997601919</v>
      </c>
      <c r="M193" s="7" t="str">
        <f t="shared" ca="1" si="11"/>
        <v>Vigente</v>
      </c>
    </row>
    <row r="194" spans="1:13" x14ac:dyDescent="0.25">
      <c r="A194" t="s">
        <v>1449</v>
      </c>
      <c r="B194" t="s">
        <v>235</v>
      </c>
      <c r="C194" s="8" t="s">
        <v>45</v>
      </c>
      <c r="D194" s="8" t="str">
        <f>_xlfn.XLOOKUP(Tabla2[[#This Row],[ClienteID]],Clientes!A:A,Clientes!G:G,"No encontrado",0)</f>
        <v>AG03</v>
      </c>
      <c r="E194" s="9">
        <v>44927</v>
      </c>
      <c r="F194" s="10">
        <v>1.0773753265593216E-2</v>
      </c>
      <c r="G194" s="10">
        <f t="shared" si="8"/>
        <v>8.9340967758322343E-4</v>
      </c>
      <c r="H194" s="8"/>
      <c r="I194" s="11">
        <v>43915</v>
      </c>
      <c r="J194" s="9" t="str">
        <f t="shared" si="9"/>
        <v/>
      </c>
      <c r="K194" s="11">
        <f t="shared" ca="1" si="10"/>
        <v>45634.107701284411</v>
      </c>
      <c r="L194" s="11">
        <f ca="1">Tabla2[[#This Row],[SaldoActual]]-Tabla2[[#This Row],[MontoDepositado]]</f>
        <v>1719.1077012844107</v>
      </c>
      <c r="M194" s="7" t="str">
        <f t="shared" ca="1" si="11"/>
        <v>Vigente</v>
      </c>
    </row>
    <row r="195" spans="1:13" x14ac:dyDescent="0.25">
      <c r="A195" t="s">
        <v>1450</v>
      </c>
      <c r="B195" t="s">
        <v>558</v>
      </c>
      <c r="C195" s="8" t="s">
        <v>45</v>
      </c>
      <c r="D195" s="8" t="str">
        <f>_xlfn.XLOOKUP(Tabla2[[#This Row],[ClienteID]],Clientes!A:A,Clientes!G:G,"No encontrado",0)</f>
        <v>AG07</v>
      </c>
      <c r="E195" s="9">
        <v>46089</v>
      </c>
      <c r="F195" s="10">
        <v>7.0563650566118049E-3</v>
      </c>
      <c r="G195" s="10">
        <f t="shared" ref="G195:G258" si="12">(1+F195)^(1/12)-1</f>
        <v>5.8613716244937386E-4</v>
      </c>
      <c r="H195" s="8"/>
      <c r="I195" s="11">
        <v>12322</v>
      </c>
      <c r="J195" s="9" t="str">
        <f t="shared" ref="J195:J258" si="13">IF(H195=0,"",EDATE(E195,H195))</f>
        <v/>
      </c>
      <c r="K195" s="11">
        <f t="shared" ref="K195:K258" ca="1" si="14">IF(C195="TD01",I195*(1+G195)^DATEDIF(E195,TODAY(),"m"),I195*(1+G195)^MIN(DATEDIF(E195,TODAY(),"m"),H195))</f>
        <v>12358.154268464355</v>
      </c>
      <c r="L195" s="11">
        <f ca="1">Tabla2[[#This Row],[SaldoActual]]-Tabla2[[#This Row],[MontoDepositado]]</f>
        <v>36.154268464355482</v>
      </c>
      <c r="M195" s="7" t="str">
        <f t="shared" ref="M195:M258" ca="1" si="15">IF(H195=0,"Vigente",IF(TODAY()&gt;J195,"Vencido","Vigente"))</f>
        <v>Vigente</v>
      </c>
    </row>
    <row r="196" spans="1:13" x14ac:dyDescent="0.25">
      <c r="A196" t="s">
        <v>1451</v>
      </c>
      <c r="B196" t="s">
        <v>612</v>
      </c>
      <c r="C196" s="8" t="s">
        <v>45</v>
      </c>
      <c r="D196" s="8" t="str">
        <f>_xlfn.XLOOKUP(Tabla2[[#This Row],[ClienteID]],Clientes!A:A,Clientes!G:G,"No encontrado",0)</f>
        <v>AG05</v>
      </c>
      <c r="E196" s="9">
        <v>45721</v>
      </c>
      <c r="F196" s="10">
        <v>6.9323113741802432E-3</v>
      </c>
      <c r="G196" s="10">
        <f t="shared" si="12"/>
        <v>5.7586519490437915E-4</v>
      </c>
      <c r="H196" s="8"/>
      <c r="I196" s="11">
        <v>16708</v>
      </c>
      <c r="J196" s="9" t="str">
        <f t="shared" si="13"/>
        <v/>
      </c>
      <c r="K196" s="11">
        <f t="shared" ca="1" si="14"/>
        <v>16872.322158349139</v>
      </c>
      <c r="L196" s="11">
        <f ca="1">Tabla2[[#This Row],[SaldoActual]]-Tabla2[[#This Row],[MontoDepositado]]</f>
        <v>164.3221583491395</v>
      </c>
      <c r="M196" s="7" t="str">
        <f t="shared" ca="1" si="15"/>
        <v>Vigente</v>
      </c>
    </row>
    <row r="197" spans="1:13" x14ac:dyDescent="0.25">
      <c r="A197" t="s">
        <v>1452</v>
      </c>
      <c r="B197" t="s">
        <v>170</v>
      </c>
      <c r="C197" s="8" t="s">
        <v>46</v>
      </c>
      <c r="D197" s="8" t="str">
        <f>_xlfn.XLOOKUP(Tabla2[[#This Row],[ClienteID]],Clientes!A:A,Clientes!G:G,"No encontrado",0)</f>
        <v>AG04</v>
      </c>
      <c r="E197" s="9">
        <v>45510</v>
      </c>
      <c r="F197" s="10">
        <v>3.0740855212266292E-2</v>
      </c>
      <c r="G197" s="10">
        <f t="shared" si="12"/>
        <v>2.5263375420847556E-3</v>
      </c>
      <c r="H197" s="8">
        <v>3</v>
      </c>
      <c r="I197" s="11">
        <v>17572</v>
      </c>
      <c r="J197" s="9">
        <f t="shared" si="13"/>
        <v>45602</v>
      </c>
      <c r="K197" s="11">
        <f t="shared" ca="1" si="14"/>
        <v>17705.515146816986</v>
      </c>
      <c r="L197" s="11">
        <f ca="1">Tabla2[[#This Row],[SaldoActual]]-Tabla2[[#This Row],[MontoDepositado]]</f>
        <v>133.51514681698609</v>
      </c>
      <c r="M197" s="7" t="str">
        <f t="shared" ca="1" si="15"/>
        <v>Vencido</v>
      </c>
    </row>
    <row r="198" spans="1:13" x14ac:dyDescent="0.25">
      <c r="A198" t="s">
        <v>1453</v>
      </c>
      <c r="B198" t="s">
        <v>810</v>
      </c>
      <c r="C198" s="8" t="s">
        <v>52</v>
      </c>
      <c r="D198" s="8" t="str">
        <f>_xlfn.XLOOKUP(Tabla2[[#This Row],[ClienteID]],Clientes!A:A,Clientes!G:G,"No encontrado",0)</f>
        <v>AG03</v>
      </c>
      <c r="E198" s="9">
        <v>45703</v>
      </c>
      <c r="F198" s="10">
        <v>3.220427175687253E-2</v>
      </c>
      <c r="G198" s="10">
        <f t="shared" si="12"/>
        <v>2.6448736249415905E-3</v>
      </c>
      <c r="H198" s="8">
        <v>6</v>
      </c>
      <c r="I198" s="11">
        <v>23404</v>
      </c>
      <c r="J198" s="9">
        <f t="shared" si="13"/>
        <v>45884</v>
      </c>
      <c r="K198" s="11">
        <f t="shared" ca="1" si="14"/>
        <v>23777.868201294557</v>
      </c>
      <c r="L198" s="11">
        <f ca="1">Tabla2[[#This Row],[SaldoActual]]-Tabla2[[#This Row],[MontoDepositado]]</f>
        <v>373.86820129455737</v>
      </c>
      <c r="M198" s="7" t="str">
        <f t="shared" ca="1" si="15"/>
        <v>Vencido</v>
      </c>
    </row>
    <row r="199" spans="1:13" x14ac:dyDescent="0.25">
      <c r="A199" t="s">
        <v>1454</v>
      </c>
      <c r="B199" t="s">
        <v>310</v>
      </c>
      <c r="C199" s="8" t="s">
        <v>50</v>
      </c>
      <c r="D199" s="8" t="str">
        <f>_xlfn.XLOOKUP(Tabla2[[#This Row],[ClienteID]],Clientes!A:A,Clientes!G:G,"No encontrado",0)</f>
        <v>AG06</v>
      </c>
      <c r="E199" s="9">
        <v>46211</v>
      </c>
      <c r="F199" s="10">
        <v>6.4736295921382719E-2</v>
      </c>
      <c r="G199" s="10">
        <f t="shared" si="12"/>
        <v>5.2409492300364846E-3</v>
      </c>
      <c r="H199" s="8">
        <v>12</v>
      </c>
      <c r="I199" s="11">
        <v>47384</v>
      </c>
      <c r="J199" s="9">
        <f t="shared" si="13"/>
        <v>46576</v>
      </c>
      <c r="K199" s="11">
        <f t="shared" ca="1" si="14"/>
        <v>47632.337138316048</v>
      </c>
      <c r="L199" s="11">
        <f ca="1">Tabla2[[#This Row],[SaldoActual]]-Tabla2[[#This Row],[MontoDepositado]]</f>
        <v>248.33713831604837</v>
      </c>
      <c r="M199" s="7" t="str">
        <f t="shared" ca="1" si="15"/>
        <v>Vigente</v>
      </c>
    </row>
    <row r="200" spans="1:13" x14ac:dyDescent="0.25">
      <c r="A200" t="s">
        <v>1455</v>
      </c>
      <c r="B200" t="s">
        <v>326</v>
      </c>
      <c r="C200" s="8" t="s">
        <v>48</v>
      </c>
      <c r="D200" s="8" t="str">
        <f>_xlfn.XLOOKUP(Tabla2[[#This Row],[ClienteID]],Clientes!A:A,Clientes!G:G,"No encontrado",0)</f>
        <v>AG05</v>
      </c>
      <c r="E200" s="9">
        <v>46164</v>
      </c>
      <c r="F200" s="10">
        <v>4.9444248663709271E-2</v>
      </c>
      <c r="G200" s="10">
        <f t="shared" si="12"/>
        <v>4.0298260891453719E-3</v>
      </c>
      <c r="H200" s="8">
        <v>6</v>
      </c>
      <c r="I200" s="11">
        <v>43656</v>
      </c>
      <c r="J200" s="9">
        <f t="shared" si="13"/>
        <v>46348</v>
      </c>
      <c r="K200" s="11">
        <f t="shared" ca="1" si="14"/>
        <v>44008.56112703363</v>
      </c>
      <c r="L200" s="11">
        <f ca="1">Tabla2[[#This Row],[SaldoActual]]-Tabla2[[#This Row],[MontoDepositado]]</f>
        <v>352.56112703363033</v>
      </c>
      <c r="M200" s="7" t="str">
        <f t="shared" ca="1" si="15"/>
        <v>Vigente</v>
      </c>
    </row>
    <row r="201" spans="1:13" x14ac:dyDescent="0.25">
      <c r="A201" t="s">
        <v>1456</v>
      </c>
      <c r="B201" t="s">
        <v>266</v>
      </c>
      <c r="C201" s="8" t="s">
        <v>50</v>
      </c>
      <c r="D201" s="8" t="str">
        <f>_xlfn.XLOOKUP(Tabla2[[#This Row],[ClienteID]],Clientes!A:A,Clientes!G:G,"No encontrado",0)</f>
        <v>AG06</v>
      </c>
      <c r="E201" s="9">
        <v>46167</v>
      </c>
      <c r="F201" s="10">
        <v>6.1381892565541225E-2</v>
      </c>
      <c r="G201" s="10">
        <f t="shared" si="12"/>
        <v>4.9766535500301856E-3</v>
      </c>
      <c r="H201" s="8">
        <v>12</v>
      </c>
      <c r="I201" s="11">
        <v>23640</v>
      </c>
      <c r="J201" s="9">
        <f t="shared" si="13"/>
        <v>46532</v>
      </c>
      <c r="K201" s="11">
        <f t="shared" ca="1" si="14"/>
        <v>23875.881673629796</v>
      </c>
      <c r="L201" s="11">
        <f ca="1">Tabla2[[#This Row],[SaldoActual]]-Tabla2[[#This Row],[MontoDepositado]]</f>
        <v>235.88167362979584</v>
      </c>
      <c r="M201" s="7" t="str">
        <f t="shared" ca="1" si="15"/>
        <v>Vigente</v>
      </c>
    </row>
    <row r="202" spans="1:13" x14ac:dyDescent="0.25">
      <c r="A202" t="s">
        <v>1457</v>
      </c>
      <c r="B202" t="s">
        <v>245</v>
      </c>
      <c r="C202" s="8" t="s">
        <v>48</v>
      </c>
      <c r="D202" s="8" t="str">
        <f>_xlfn.XLOOKUP(Tabla2[[#This Row],[ClienteID]],Clientes!A:A,Clientes!G:G,"No encontrado",0)</f>
        <v>AG01</v>
      </c>
      <c r="E202" s="9">
        <v>45689</v>
      </c>
      <c r="F202" s="10">
        <v>4.8805684057235704E-2</v>
      </c>
      <c r="G202" s="10">
        <f t="shared" si="12"/>
        <v>3.97890097762299E-3</v>
      </c>
      <c r="H202" s="8">
        <v>6</v>
      </c>
      <c r="I202" s="11">
        <v>11076</v>
      </c>
      <c r="J202" s="9">
        <f t="shared" si="13"/>
        <v>45870</v>
      </c>
      <c r="K202" s="11">
        <f t="shared" ca="1" si="14"/>
        <v>11343.066110020705</v>
      </c>
      <c r="L202" s="11">
        <f ca="1">Tabla2[[#This Row],[SaldoActual]]-Tabla2[[#This Row],[MontoDepositado]]</f>
        <v>267.06611002070531</v>
      </c>
      <c r="M202" s="7" t="str">
        <f t="shared" ca="1" si="15"/>
        <v>Vencido</v>
      </c>
    </row>
    <row r="203" spans="1:13" x14ac:dyDescent="0.25">
      <c r="A203" t="s">
        <v>1458</v>
      </c>
      <c r="B203" t="s">
        <v>507</v>
      </c>
      <c r="C203" s="8" t="s">
        <v>45</v>
      </c>
      <c r="D203" s="8" t="str">
        <f>_xlfn.XLOOKUP(Tabla2[[#This Row],[ClienteID]],Clientes!A:A,Clientes!G:G,"No encontrado",0)</f>
        <v>AG07</v>
      </c>
      <c r="E203" s="9">
        <v>46241</v>
      </c>
      <c r="F203" s="10">
        <v>1.0300598671683925E-2</v>
      </c>
      <c r="G203" s="10">
        <f t="shared" si="12"/>
        <v>8.5435717365101027E-4</v>
      </c>
      <c r="H203" s="8"/>
      <c r="I203" s="11">
        <v>30358</v>
      </c>
      <c r="J203" s="9" t="str">
        <f t="shared" si="13"/>
        <v/>
      </c>
      <c r="K203" s="11">
        <f t="shared" ca="1" si="14"/>
        <v>30358</v>
      </c>
      <c r="L203" s="11">
        <f ca="1">Tabla2[[#This Row],[SaldoActual]]-Tabla2[[#This Row],[MontoDepositado]]</f>
        <v>0</v>
      </c>
      <c r="M203" s="7" t="str">
        <f t="shared" ca="1" si="15"/>
        <v>Vigente</v>
      </c>
    </row>
    <row r="204" spans="1:13" x14ac:dyDescent="0.25">
      <c r="A204" t="s">
        <v>1459</v>
      </c>
      <c r="B204" t="s">
        <v>435</v>
      </c>
      <c r="C204" s="8" t="s">
        <v>46</v>
      </c>
      <c r="D204" s="8" t="str">
        <f>_xlfn.XLOOKUP(Tabla2[[#This Row],[ClienteID]],Clientes!A:A,Clientes!G:G,"No encontrado",0)</f>
        <v>AG01</v>
      </c>
      <c r="E204" s="9">
        <v>46110</v>
      </c>
      <c r="F204" s="10">
        <v>3.0759300985198596E-2</v>
      </c>
      <c r="G204" s="10">
        <f t="shared" si="12"/>
        <v>2.5278326011493046E-3</v>
      </c>
      <c r="H204" s="8">
        <v>3</v>
      </c>
      <c r="I204" s="11">
        <v>46572</v>
      </c>
      <c r="J204" s="9">
        <f t="shared" si="13"/>
        <v>46202</v>
      </c>
      <c r="K204" s="11">
        <f t="shared" ca="1" si="14"/>
        <v>46926.072188495411</v>
      </c>
      <c r="L204" s="11">
        <f ca="1">Tabla2[[#This Row],[SaldoActual]]-Tabla2[[#This Row],[MontoDepositado]]</f>
        <v>354.07218849541096</v>
      </c>
      <c r="M204" s="7" t="str">
        <f t="shared" ca="1" si="15"/>
        <v>Vencido</v>
      </c>
    </row>
    <row r="205" spans="1:13" x14ac:dyDescent="0.25">
      <c r="A205" t="s">
        <v>1460</v>
      </c>
      <c r="B205" t="s">
        <v>822</v>
      </c>
      <c r="C205" s="8" t="s">
        <v>46</v>
      </c>
      <c r="D205" s="8" t="str">
        <f>_xlfn.XLOOKUP(Tabla2[[#This Row],[ClienteID]],Clientes!A:A,Clientes!G:G,"No encontrado",0)</f>
        <v>AG01</v>
      </c>
      <c r="E205" s="9">
        <v>46154</v>
      </c>
      <c r="F205" s="10">
        <v>3.0479643453370564E-2</v>
      </c>
      <c r="G205" s="10">
        <f t="shared" si="12"/>
        <v>2.505163282784828E-3</v>
      </c>
      <c r="H205" s="8">
        <v>3</v>
      </c>
      <c r="I205" s="11">
        <v>47078</v>
      </c>
      <c r="J205" s="9">
        <f t="shared" si="13"/>
        <v>46246</v>
      </c>
      <c r="K205" s="11">
        <f t="shared" ca="1" si="14"/>
        <v>47432.70133366232</v>
      </c>
      <c r="L205" s="11">
        <f ca="1">Tabla2[[#This Row],[SaldoActual]]-Tabla2[[#This Row],[MontoDepositado]]</f>
        <v>354.70133366232039</v>
      </c>
      <c r="M205" s="7" t="str">
        <f t="shared" ca="1" si="15"/>
        <v>Vigente</v>
      </c>
    </row>
    <row r="206" spans="1:13" x14ac:dyDescent="0.25">
      <c r="A206" t="s">
        <v>1461</v>
      </c>
      <c r="B206" t="s">
        <v>350</v>
      </c>
      <c r="C206" s="8" t="s">
        <v>52</v>
      </c>
      <c r="D206" s="8" t="str">
        <f>_xlfn.XLOOKUP(Tabla2[[#This Row],[ClienteID]],Clientes!A:A,Clientes!G:G,"No encontrado",0)</f>
        <v>AG03</v>
      </c>
      <c r="E206" s="9">
        <v>45455</v>
      </c>
      <c r="F206" s="10">
        <v>3.0461674202905343E-2</v>
      </c>
      <c r="G206" s="10">
        <f t="shared" si="12"/>
        <v>2.503706484611401E-3</v>
      </c>
      <c r="H206" s="8">
        <v>6</v>
      </c>
      <c r="I206" s="11">
        <v>21538</v>
      </c>
      <c r="J206" s="9">
        <f t="shared" si="13"/>
        <v>45638</v>
      </c>
      <c r="K206" s="11">
        <f t="shared" ca="1" si="14"/>
        <v>21863.580934115023</v>
      </c>
      <c r="L206" s="11">
        <f ca="1">Tabla2[[#This Row],[SaldoActual]]-Tabla2[[#This Row],[MontoDepositado]]</f>
        <v>325.58093411502341</v>
      </c>
      <c r="M206" s="7" t="str">
        <f t="shared" ca="1" si="15"/>
        <v>Vencido</v>
      </c>
    </row>
    <row r="207" spans="1:13" x14ac:dyDescent="0.25">
      <c r="A207" t="s">
        <v>1462</v>
      </c>
      <c r="B207" t="s">
        <v>419</v>
      </c>
      <c r="C207" s="8" t="s">
        <v>45</v>
      </c>
      <c r="D207" s="8" t="str">
        <f>_xlfn.XLOOKUP(Tabla2[[#This Row],[ClienteID]],Clientes!A:A,Clientes!G:G,"No encontrado",0)</f>
        <v>AG03</v>
      </c>
      <c r="E207" s="9">
        <v>45707</v>
      </c>
      <c r="F207" s="10">
        <v>1.4215051963889124E-2</v>
      </c>
      <c r="G207" s="10">
        <f t="shared" si="12"/>
        <v>1.1769391738987167E-3</v>
      </c>
      <c r="H207" s="8"/>
      <c r="I207" s="11">
        <v>24559</v>
      </c>
      <c r="J207" s="9" t="str">
        <f t="shared" si="13"/>
        <v/>
      </c>
      <c r="K207" s="11">
        <f t="shared" ca="1" si="14"/>
        <v>25055.029528158018</v>
      </c>
      <c r="L207" s="11">
        <f ca="1">Tabla2[[#This Row],[SaldoActual]]-Tabla2[[#This Row],[MontoDepositado]]</f>
        <v>496.02952815801837</v>
      </c>
      <c r="M207" s="7" t="str">
        <f t="shared" ca="1" si="15"/>
        <v>Vigente</v>
      </c>
    </row>
    <row r="208" spans="1:13" x14ac:dyDescent="0.25">
      <c r="A208" t="s">
        <v>1463</v>
      </c>
      <c r="B208" t="s">
        <v>92</v>
      </c>
      <c r="C208" s="8" t="s">
        <v>45</v>
      </c>
      <c r="D208" s="8" t="str">
        <f>_xlfn.XLOOKUP(Tabla2[[#This Row],[ClienteID]],Clientes!A:A,Clientes!G:G,"No encontrado",0)</f>
        <v>AG01</v>
      </c>
      <c r="E208" s="9">
        <v>46001</v>
      </c>
      <c r="F208" s="10">
        <v>5.8433549833475495E-3</v>
      </c>
      <c r="G208" s="10">
        <f t="shared" si="12"/>
        <v>4.8564695508512834E-4</v>
      </c>
      <c r="H208" s="8"/>
      <c r="I208" s="11">
        <v>4361</v>
      </c>
      <c r="J208" s="9" t="str">
        <f t="shared" si="13"/>
        <v/>
      </c>
      <c r="K208" s="11">
        <f t="shared" ca="1" si="14"/>
        <v>4377.9720784926585</v>
      </c>
      <c r="L208" s="11">
        <f ca="1">Tabla2[[#This Row],[SaldoActual]]-Tabla2[[#This Row],[MontoDepositado]]</f>
        <v>16.972078492658511</v>
      </c>
      <c r="M208" s="7" t="str">
        <f t="shared" ca="1" si="15"/>
        <v>Vigente</v>
      </c>
    </row>
    <row r="209" spans="1:13" x14ac:dyDescent="0.25">
      <c r="A209" t="s">
        <v>1464</v>
      </c>
      <c r="B209" t="s">
        <v>495</v>
      </c>
      <c r="C209" s="8" t="s">
        <v>45</v>
      </c>
      <c r="D209" s="8" t="str">
        <f>_xlfn.XLOOKUP(Tabla2[[#This Row],[ClienteID]],Clientes!A:A,Clientes!G:G,"No encontrado",0)</f>
        <v>AG05</v>
      </c>
      <c r="E209" s="9">
        <v>46167</v>
      </c>
      <c r="F209" s="10">
        <v>1.0414753158871526E-2</v>
      </c>
      <c r="G209" s="10">
        <f t="shared" si="12"/>
        <v>8.6378061485747892E-4</v>
      </c>
      <c r="H209" s="8"/>
      <c r="I209" s="11">
        <v>37681</v>
      </c>
      <c r="J209" s="9" t="str">
        <f t="shared" si="13"/>
        <v/>
      </c>
      <c r="K209" s="11">
        <f t="shared" ca="1" si="14"/>
        <v>37746.124349129706</v>
      </c>
      <c r="L209" s="11">
        <f ca="1">Tabla2[[#This Row],[SaldoActual]]-Tabla2[[#This Row],[MontoDepositado]]</f>
        <v>65.124349129706388</v>
      </c>
      <c r="M209" s="7" t="str">
        <f t="shared" ca="1" si="15"/>
        <v>Vigente</v>
      </c>
    </row>
    <row r="210" spans="1:13" x14ac:dyDescent="0.25">
      <c r="A210" t="s">
        <v>1465</v>
      </c>
      <c r="B210" t="s">
        <v>248</v>
      </c>
      <c r="C210" s="8" t="s">
        <v>48</v>
      </c>
      <c r="D210" s="8" t="str">
        <f>_xlfn.XLOOKUP(Tabla2[[#This Row],[ClienteID]],Clientes!A:A,Clientes!G:G,"No encontrado",0)</f>
        <v>AG05</v>
      </c>
      <c r="E210" s="9">
        <v>45654</v>
      </c>
      <c r="F210" s="10">
        <v>4.2893741215654903E-2</v>
      </c>
      <c r="G210" s="10">
        <f t="shared" si="12"/>
        <v>3.5060730120990424E-3</v>
      </c>
      <c r="H210" s="8">
        <v>6</v>
      </c>
      <c r="I210" s="11">
        <v>30390</v>
      </c>
      <c r="J210" s="9">
        <f t="shared" si="13"/>
        <v>45836</v>
      </c>
      <c r="K210" s="11">
        <f t="shared" ca="1" si="14"/>
        <v>31034.927175306442</v>
      </c>
      <c r="L210" s="11">
        <f ca="1">Tabla2[[#This Row],[SaldoActual]]-Tabla2[[#This Row],[MontoDepositado]]</f>
        <v>644.92717530644222</v>
      </c>
      <c r="M210" s="7" t="str">
        <f t="shared" ca="1" si="15"/>
        <v>Vencido</v>
      </c>
    </row>
    <row r="211" spans="1:13" x14ac:dyDescent="0.25">
      <c r="A211" t="s">
        <v>1466</v>
      </c>
      <c r="B211" t="s">
        <v>304</v>
      </c>
      <c r="C211" s="8" t="s">
        <v>48</v>
      </c>
      <c r="D211" s="8" t="str">
        <f>_xlfn.XLOOKUP(Tabla2[[#This Row],[ClienteID]],Clientes!A:A,Clientes!G:G,"No encontrado",0)</f>
        <v>AG03</v>
      </c>
      <c r="E211" s="9">
        <v>45380</v>
      </c>
      <c r="F211" s="10">
        <v>4.8289868160367629E-2</v>
      </c>
      <c r="G211" s="10">
        <f t="shared" si="12"/>
        <v>3.937744239643326E-3</v>
      </c>
      <c r="H211" s="8">
        <v>6</v>
      </c>
      <c r="I211" s="11">
        <v>39117</v>
      </c>
      <c r="J211" s="9">
        <f t="shared" si="13"/>
        <v>45564</v>
      </c>
      <c r="K211" s="11">
        <f t="shared" ca="1" si="14"/>
        <v>40050.342481041967</v>
      </c>
      <c r="L211" s="11">
        <f ca="1">Tabla2[[#This Row],[SaldoActual]]-Tabla2[[#This Row],[MontoDepositado]]</f>
        <v>933.3424810419674</v>
      </c>
      <c r="M211" s="7" t="str">
        <f t="shared" ca="1" si="15"/>
        <v>Vencido</v>
      </c>
    </row>
    <row r="212" spans="1:13" x14ac:dyDescent="0.25">
      <c r="A212" t="s">
        <v>1467</v>
      </c>
      <c r="B212" t="s">
        <v>85</v>
      </c>
      <c r="C212" s="8" t="s">
        <v>50</v>
      </c>
      <c r="D212" s="8" t="str">
        <f>_xlfn.XLOOKUP(Tabla2[[#This Row],[ClienteID]],Clientes!A:A,Clientes!G:G,"No encontrado",0)</f>
        <v>AG04</v>
      </c>
      <c r="E212" s="9">
        <v>46227</v>
      </c>
      <c r="F212" s="10">
        <v>6.0732100552441722E-2</v>
      </c>
      <c r="G212" s="10">
        <f t="shared" si="12"/>
        <v>4.9253674926226232E-3</v>
      </c>
      <c r="H212" s="8">
        <v>12</v>
      </c>
      <c r="I212" s="11">
        <v>4837</v>
      </c>
      <c r="J212" s="9">
        <f t="shared" si="13"/>
        <v>46592</v>
      </c>
      <c r="K212" s="11">
        <f t="shared" ca="1" si="14"/>
        <v>4837</v>
      </c>
      <c r="L212" s="11">
        <f ca="1">Tabla2[[#This Row],[SaldoActual]]-Tabla2[[#This Row],[MontoDepositado]]</f>
        <v>0</v>
      </c>
      <c r="M212" s="7" t="str">
        <f t="shared" ca="1" si="15"/>
        <v>Vigente</v>
      </c>
    </row>
    <row r="213" spans="1:13" x14ac:dyDescent="0.25">
      <c r="A213" t="s">
        <v>1468</v>
      </c>
      <c r="B213" t="s">
        <v>582</v>
      </c>
      <c r="C213" s="8" t="s">
        <v>45</v>
      </c>
      <c r="D213" s="8" t="str">
        <f>_xlfn.XLOOKUP(Tabla2[[#This Row],[ClienteID]],Clientes!A:A,Clientes!G:G,"No encontrado",0)</f>
        <v>AG05</v>
      </c>
      <c r="E213" s="9">
        <v>46233</v>
      </c>
      <c r="F213" s="10">
        <v>5.2061003058094645E-3</v>
      </c>
      <c r="G213" s="10">
        <f t="shared" si="12"/>
        <v>4.3280991996375029E-4</v>
      </c>
      <c r="H213" s="8"/>
      <c r="I213" s="11">
        <v>46743</v>
      </c>
      <c r="J213" s="9" t="str">
        <f t="shared" si="13"/>
        <v/>
      </c>
      <c r="K213" s="11">
        <f t="shared" ca="1" si="14"/>
        <v>46743</v>
      </c>
      <c r="L213" s="11">
        <f ca="1">Tabla2[[#This Row],[SaldoActual]]-Tabla2[[#This Row],[MontoDepositado]]</f>
        <v>0</v>
      </c>
      <c r="M213" s="7" t="str">
        <f t="shared" ca="1" si="15"/>
        <v>Vigente</v>
      </c>
    </row>
    <row r="214" spans="1:13" x14ac:dyDescent="0.25">
      <c r="A214" t="s">
        <v>1469</v>
      </c>
      <c r="B214" t="s">
        <v>419</v>
      </c>
      <c r="C214" s="8" t="s">
        <v>48</v>
      </c>
      <c r="D214" s="8" t="str">
        <f>_xlfn.XLOOKUP(Tabla2[[#This Row],[ClienteID]],Clientes!A:A,Clientes!G:G,"No encontrado",0)</f>
        <v>AG03</v>
      </c>
      <c r="E214" s="9">
        <v>45394</v>
      </c>
      <c r="F214" s="10">
        <v>4.9810803659083885E-2</v>
      </c>
      <c r="G214" s="10">
        <f t="shared" si="12"/>
        <v>4.0590457804257074E-3</v>
      </c>
      <c r="H214" s="8">
        <v>6</v>
      </c>
      <c r="I214" s="11">
        <v>10378</v>
      </c>
      <c r="J214" s="9">
        <f t="shared" si="13"/>
        <v>45577</v>
      </c>
      <c r="K214" s="11">
        <f t="shared" ca="1" si="14"/>
        <v>10633.327381795461</v>
      </c>
      <c r="L214" s="11">
        <f ca="1">Tabla2[[#This Row],[SaldoActual]]-Tabla2[[#This Row],[MontoDepositado]]</f>
        <v>255.32738179546141</v>
      </c>
      <c r="M214" s="7" t="str">
        <f t="shared" ca="1" si="15"/>
        <v>Vencido</v>
      </c>
    </row>
    <row r="215" spans="1:13" x14ac:dyDescent="0.25">
      <c r="A215" t="s">
        <v>1470</v>
      </c>
      <c r="B215" t="s">
        <v>133</v>
      </c>
      <c r="C215" s="8" t="s">
        <v>46</v>
      </c>
      <c r="D215" s="8" t="str">
        <f>_xlfn.XLOOKUP(Tabla2[[#This Row],[ClienteID]],Clientes!A:A,Clientes!G:G,"No encontrado",0)</f>
        <v>AG01</v>
      </c>
      <c r="E215" s="9">
        <v>46242</v>
      </c>
      <c r="F215" s="10">
        <v>3.3454907292325739E-2</v>
      </c>
      <c r="G215" s="10">
        <f t="shared" si="12"/>
        <v>2.7460525240097233E-3</v>
      </c>
      <c r="H215" s="8">
        <v>3</v>
      </c>
      <c r="I215" s="11">
        <v>45989</v>
      </c>
      <c r="J215" s="9">
        <f t="shared" si="13"/>
        <v>46334</v>
      </c>
      <c r="K215" s="11">
        <f t="shared" ca="1" si="14"/>
        <v>45989</v>
      </c>
      <c r="L215" s="11">
        <f ca="1">Tabla2[[#This Row],[SaldoActual]]-Tabla2[[#This Row],[MontoDepositado]]</f>
        <v>0</v>
      </c>
      <c r="M215" s="7" t="str">
        <f t="shared" ca="1" si="15"/>
        <v>Vigente</v>
      </c>
    </row>
    <row r="216" spans="1:13" x14ac:dyDescent="0.25">
      <c r="A216" t="s">
        <v>1471</v>
      </c>
      <c r="B216" t="s">
        <v>210</v>
      </c>
      <c r="C216" s="8" t="s">
        <v>46</v>
      </c>
      <c r="D216" s="8" t="str">
        <f>_xlfn.XLOOKUP(Tabla2[[#This Row],[ClienteID]],Clientes!A:A,Clientes!G:G,"No encontrado",0)</f>
        <v>AG05</v>
      </c>
      <c r="E216" s="9">
        <v>45013</v>
      </c>
      <c r="F216" s="10">
        <v>3.9157818102063376E-2</v>
      </c>
      <c r="G216" s="10">
        <f t="shared" si="12"/>
        <v>3.2060111966984994E-3</v>
      </c>
      <c r="H216" s="8">
        <v>3</v>
      </c>
      <c r="I216" s="11">
        <v>48871</v>
      </c>
      <c r="J216" s="9">
        <f t="shared" si="13"/>
        <v>45105</v>
      </c>
      <c r="K216" s="11">
        <f t="shared" ca="1" si="14"/>
        <v>49342.551492891274</v>
      </c>
      <c r="L216" s="11">
        <f ca="1">Tabla2[[#This Row],[SaldoActual]]-Tabla2[[#This Row],[MontoDepositado]]</f>
        <v>471.55149289127439</v>
      </c>
      <c r="M216" s="7" t="str">
        <f t="shared" ca="1" si="15"/>
        <v>Vencido</v>
      </c>
    </row>
    <row r="217" spans="1:13" x14ac:dyDescent="0.25">
      <c r="A217" t="s">
        <v>1472</v>
      </c>
      <c r="B217" t="s">
        <v>257</v>
      </c>
      <c r="C217" s="8" t="s">
        <v>50</v>
      </c>
      <c r="D217" s="8" t="str">
        <f>_xlfn.XLOOKUP(Tabla2[[#This Row],[ClienteID]],Clientes!A:A,Clientes!G:G,"No encontrado",0)</f>
        <v>AG07</v>
      </c>
      <c r="E217" s="9">
        <v>46008</v>
      </c>
      <c r="F217" s="10">
        <v>6.9525398417585982E-2</v>
      </c>
      <c r="G217" s="10">
        <f t="shared" si="12"/>
        <v>5.6169660956635337E-3</v>
      </c>
      <c r="H217" s="8">
        <v>12</v>
      </c>
      <c r="I217" s="11">
        <v>42698</v>
      </c>
      <c r="J217" s="9">
        <f t="shared" si="13"/>
        <v>46373</v>
      </c>
      <c r="K217" s="11">
        <f t="shared" ca="1" si="14"/>
        <v>44405.388695675632</v>
      </c>
      <c r="L217" s="11">
        <f ca="1">Tabla2[[#This Row],[SaldoActual]]-Tabla2[[#This Row],[MontoDepositado]]</f>
        <v>1707.3886956756323</v>
      </c>
      <c r="M217" s="7" t="str">
        <f t="shared" ca="1" si="15"/>
        <v>Vigente</v>
      </c>
    </row>
    <row r="218" spans="1:13" x14ac:dyDescent="0.25">
      <c r="A218" t="s">
        <v>1473</v>
      </c>
      <c r="B218" t="s">
        <v>837</v>
      </c>
      <c r="C218" s="8" t="s">
        <v>52</v>
      </c>
      <c r="D218" s="8" t="str">
        <f>_xlfn.XLOOKUP(Tabla2[[#This Row],[ClienteID]],Clientes!A:A,Clientes!G:G,"No encontrado",0)</f>
        <v>AG06</v>
      </c>
      <c r="E218" s="9">
        <v>45566</v>
      </c>
      <c r="F218" s="10">
        <v>3.3340761316631461E-2</v>
      </c>
      <c r="G218" s="10">
        <f t="shared" si="12"/>
        <v>2.7368225437063298E-3</v>
      </c>
      <c r="H218" s="8">
        <v>6</v>
      </c>
      <c r="I218" s="11">
        <v>8043</v>
      </c>
      <c r="J218" s="9">
        <f t="shared" si="13"/>
        <v>45748</v>
      </c>
      <c r="K218" s="11">
        <f t="shared" ca="1" si="14"/>
        <v>8175.9805415080236</v>
      </c>
      <c r="L218" s="11">
        <f ca="1">Tabla2[[#This Row],[SaldoActual]]-Tabla2[[#This Row],[MontoDepositado]]</f>
        <v>132.98054150802363</v>
      </c>
      <c r="M218" s="7" t="str">
        <f t="shared" ca="1" si="15"/>
        <v>Vencido</v>
      </c>
    </row>
    <row r="219" spans="1:13" x14ac:dyDescent="0.25">
      <c r="A219" t="s">
        <v>1474</v>
      </c>
      <c r="B219" t="s">
        <v>579</v>
      </c>
      <c r="C219" s="8" t="s">
        <v>45</v>
      </c>
      <c r="D219" s="8" t="str">
        <f>_xlfn.XLOOKUP(Tabla2[[#This Row],[ClienteID]],Clientes!A:A,Clientes!G:G,"No encontrado",0)</f>
        <v>AG07</v>
      </c>
      <c r="E219" s="9">
        <v>46010</v>
      </c>
      <c r="F219" s="10">
        <v>1.331494871582314E-2</v>
      </c>
      <c r="G219" s="10">
        <f t="shared" si="12"/>
        <v>1.1028646977309098E-3</v>
      </c>
      <c r="H219" s="8"/>
      <c r="I219" s="11">
        <v>27784</v>
      </c>
      <c r="J219" s="9" t="str">
        <f t="shared" si="13"/>
        <v/>
      </c>
      <c r="K219" s="11">
        <f t="shared" ca="1" si="14"/>
        <v>27999.20492864191</v>
      </c>
      <c r="L219" s="11">
        <f ca="1">Tabla2[[#This Row],[SaldoActual]]-Tabla2[[#This Row],[MontoDepositado]]</f>
        <v>215.20492864190965</v>
      </c>
      <c r="M219" s="7" t="str">
        <f t="shared" ca="1" si="15"/>
        <v>Vigente</v>
      </c>
    </row>
    <row r="220" spans="1:13" x14ac:dyDescent="0.25">
      <c r="A220" t="s">
        <v>1475</v>
      </c>
      <c r="B220" t="s">
        <v>519</v>
      </c>
      <c r="C220" s="8" t="s">
        <v>45</v>
      </c>
      <c r="D220" s="8" t="str">
        <f>_xlfn.XLOOKUP(Tabla2[[#This Row],[ClienteID]],Clientes!A:A,Clientes!G:G,"No encontrado",0)</f>
        <v>AG06</v>
      </c>
      <c r="E220" s="9">
        <v>46106</v>
      </c>
      <c r="F220" s="10">
        <v>1.2685970440002151E-2</v>
      </c>
      <c r="G220" s="10">
        <f t="shared" si="12"/>
        <v>1.0510667873735446E-3</v>
      </c>
      <c r="H220" s="8"/>
      <c r="I220" s="11">
        <v>21170</v>
      </c>
      <c r="J220" s="9" t="str">
        <f t="shared" si="13"/>
        <v/>
      </c>
      <c r="K220" s="11">
        <f t="shared" ca="1" si="14"/>
        <v>21259.144758158953</v>
      </c>
      <c r="L220" s="11">
        <f ca="1">Tabla2[[#This Row],[SaldoActual]]-Tabla2[[#This Row],[MontoDepositado]]</f>
        <v>89.144758158952754</v>
      </c>
      <c r="M220" s="7" t="str">
        <f t="shared" ca="1" si="15"/>
        <v>Vigente</v>
      </c>
    </row>
    <row r="221" spans="1:13" x14ac:dyDescent="0.25">
      <c r="A221" t="s">
        <v>1476</v>
      </c>
      <c r="B221" t="s">
        <v>65</v>
      </c>
      <c r="C221" s="8" t="s">
        <v>52</v>
      </c>
      <c r="D221" s="8" t="str">
        <f>_xlfn.XLOOKUP(Tabla2[[#This Row],[ClienteID]],Clientes!A:A,Clientes!G:G,"No encontrado",0)</f>
        <v>AG05</v>
      </c>
      <c r="E221" s="9">
        <v>46140</v>
      </c>
      <c r="F221" s="10">
        <v>3.4381240132569289E-2</v>
      </c>
      <c r="G221" s="10">
        <f t="shared" si="12"/>
        <v>2.8209223614912293E-3</v>
      </c>
      <c r="H221" s="8">
        <v>6</v>
      </c>
      <c r="I221" s="11">
        <v>15604</v>
      </c>
      <c r="J221" s="9">
        <f t="shared" si="13"/>
        <v>46323</v>
      </c>
      <c r="K221" s="11">
        <f t="shared" ca="1" si="14"/>
        <v>15736.425879171496</v>
      </c>
      <c r="L221" s="11">
        <f ca="1">Tabla2[[#This Row],[SaldoActual]]-Tabla2[[#This Row],[MontoDepositado]]</f>
        <v>132.42587917149649</v>
      </c>
      <c r="M221" s="7" t="str">
        <f t="shared" ca="1" si="15"/>
        <v>Vigente</v>
      </c>
    </row>
    <row r="222" spans="1:13" x14ac:dyDescent="0.25">
      <c r="A222" t="s">
        <v>1477</v>
      </c>
      <c r="B222" t="s">
        <v>163</v>
      </c>
      <c r="C222" s="8" t="s">
        <v>45</v>
      </c>
      <c r="D222" s="8" t="str">
        <f>_xlfn.XLOOKUP(Tabla2[[#This Row],[ClienteID]],Clientes!A:A,Clientes!G:G,"No encontrado",0)</f>
        <v>AG03</v>
      </c>
      <c r="E222" s="9">
        <v>46190</v>
      </c>
      <c r="F222" s="10">
        <v>7.2308770740613188E-3</v>
      </c>
      <c r="G222" s="10">
        <f t="shared" si="12"/>
        <v>6.0058524801309687E-4</v>
      </c>
      <c r="H222" s="8"/>
      <c r="I222" s="11">
        <v>34541</v>
      </c>
      <c r="J222" s="9" t="str">
        <f t="shared" si="13"/>
        <v/>
      </c>
      <c r="K222" s="11">
        <f t="shared" ca="1" si="14"/>
        <v>34561.744815051621</v>
      </c>
      <c r="L222" s="11">
        <f ca="1">Tabla2[[#This Row],[SaldoActual]]-Tabla2[[#This Row],[MontoDepositado]]</f>
        <v>20.744815051621117</v>
      </c>
      <c r="M222" s="7" t="str">
        <f t="shared" ca="1" si="15"/>
        <v>Vigente</v>
      </c>
    </row>
    <row r="223" spans="1:13" x14ac:dyDescent="0.25">
      <c r="A223" t="s">
        <v>1478</v>
      </c>
      <c r="B223" t="s">
        <v>92</v>
      </c>
      <c r="C223" s="8" t="s">
        <v>45</v>
      </c>
      <c r="D223" s="8" t="str">
        <f>_xlfn.XLOOKUP(Tabla2[[#This Row],[ClienteID]],Clientes!A:A,Clientes!G:G,"No encontrado",0)</f>
        <v>AG01</v>
      </c>
      <c r="E223" s="9">
        <v>45939</v>
      </c>
      <c r="F223" s="10">
        <v>5.6491747047132798E-3</v>
      </c>
      <c r="G223" s="10">
        <f t="shared" si="12"/>
        <v>4.6955003397020079E-4</v>
      </c>
      <c r="H223" s="8"/>
      <c r="I223" s="11">
        <v>28045</v>
      </c>
      <c r="J223" s="9" t="str">
        <f t="shared" si="13"/>
        <v/>
      </c>
      <c r="K223" s="11">
        <f t="shared" ca="1" si="14"/>
        <v>28176.963903498498</v>
      </c>
      <c r="L223" s="11">
        <f ca="1">Tabla2[[#This Row],[SaldoActual]]-Tabla2[[#This Row],[MontoDepositado]]</f>
        <v>131.96390349849753</v>
      </c>
      <c r="M223" s="7" t="str">
        <f t="shared" ca="1" si="15"/>
        <v>Vigente</v>
      </c>
    </row>
    <row r="224" spans="1:13" x14ac:dyDescent="0.25">
      <c r="A224" t="s">
        <v>1479</v>
      </c>
      <c r="B224" t="s">
        <v>468</v>
      </c>
      <c r="C224" s="8" t="s">
        <v>52</v>
      </c>
      <c r="D224" s="8" t="str">
        <f>_xlfn.XLOOKUP(Tabla2[[#This Row],[ClienteID]],Clientes!A:A,Clientes!G:G,"No encontrado",0)</f>
        <v>AG06</v>
      </c>
      <c r="E224" s="9">
        <v>46096</v>
      </c>
      <c r="F224" s="10">
        <v>3.1424561882772963E-2</v>
      </c>
      <c r="G224" s="10">
        <f t="shared" si="12"/>
        <v>2.5817366629934391E-3</v>
      </c>
      <c r="H224" s="8">
        <v>6</v>
      </c>
      <c r="I224" s="11">
        <v>24075</v>
      </c>
      <c r="J224" s="9">
        <f t="shared" si="13"/>
        <v>46280</v>
      </c>
      <c r="K224" s="11">
        <f t="shared" ca="1" si="14"/>
        <v>24324.585710725227</v>
      </c>
      <c r="L224" s="11">
        <f ca="1">Tabla2[[#This Row],[SaldoActual]]-Tabla2[[#This Row],[MontoDepositado]]</f>
        <v>249.58571072522682</v>
      </c>
      <c r="M224" s="7" t="str">
        <f t="shared" ca="1" si="15"/>
        <v>Vigente</v>
      </c>
    </row>
    <row r="225" spans="1:13" x14ac:dyDescent="0.25">
      <c r="A225" t="s">
        <v>1480</v>
      </c>
      <c r="B225" t="s">
        <v>201</v>
      </c>
      <c r="C225" s="8" t="s">
        <v>46</v>
      </c>
      <c r="D225" s="8" t="str">
        <f>_xlfn.XLOOKUP(Tabla2[[#This Row],[ClienteID]],Clientes!A:A,Clientes!G:G,"No encontrado",0)</f>
        <v>AG05</v>
      </c>
      <c r="E225" s="9">
        <v>46117</v>
      </c>
      <c r="F225" s="10">
        <v>3.695959914669663E-2</v>
      </c>
      <c r="G225" s="10">
        <f t="shared" si="12"/>
        <v>3.0289922488353493E-3</v>
      </c>
      <c r="H225" s="8">
        <v>3</v>
      </c>
      <c r="I225" s="11">
        <v>32422</v>
      </c>
      <c r="J225" s="9">
        <f t="shared" si="13"/>
        <v>46208</v>
      </c>
      <c r="K225" s="11">
        <f t="shared" ca="1" si="14"/>
        <v>32717.511256612357</v>
      </c>
      <c r="L225" s="11">
        <f ca="1">Tabla2[[#This Row],[SaldoActual]]-Tabla2[[#This Row],[MontoDepositado]]</f>
        <v>295.5112566123571</v>
      </c>
      <c r="M225" s="7" t="str">
        <f t="shared" ca="1" si="15"/>
        <v>Vencido</v>
      </c>
    </row>
    <row r="226" spans="1:13" x14ac:dyDescent="0.25">
      <c r="A226" t="s">
        <v>1481</v>
      </c>
      <c r="B226" t="s">
        <v>790</v>
      </c>
      <c r="C226" s="8" t="s">
        <v>45</v>
      </c>
      <c r="D226" s="8" t="str">
        <f>_xlfn.XLOOKUP(Tabla2[[#This Row],[ClienteID]],Clientes!A:A,Clientes!G:G,"No encontrado",0)</f>
        <v>AG05</v>
      </c>
      <c r="E226" s="9">
        <v>45449</v>
      </c>
      <c r="F226" s="10">
        <v>9.5636548103413457E-3</v>
      </c>
      <c r="G226" s="10">
        <f t="shared" si="12"/>
        <v>7.9349903418868273E-4</v>
      </c>
      <c r="H226" s="8"/>
      <c r="I226" s="11">
        <v>44667</v>
      </c>
      <c r="J226" s="9" t="str">
        <f t="shared" si="13"/>
        <v/>
      </c>
      <c r="K226" s="11">
        <f t="shared" ca="1" si="14"/>
        <v>45597.722396537145</v>
      </c>
      <c r="L226" s="11">
        <f ca="1">Tabla2[[#This Row],[SaldoActual]]-Tabla2[[#This Row],[MontoDepositado]]</f>
        <v>930.72239653714496</v>
      </c>
      <c r="M226" s="7" t="str">
        <f t="shared" ca="1" si="15"/>
        <v>Vigente</v>
      </c>
    </row>
    <row r="227" spans="1:13" x14ac:dyDescent="0.25">
      <c r="A227" t="s">
        <v>1482</v>
      </c>
      <c r="B227" t="s">
        <v>248</v>
      </c>
      <c r="C227" s="8" t="s">
        <v>45</v>
      </c>
      <c r="D227" s="8" t="str">
        <f>_xlfn.XLOOKUP(Tabla2[[#This Row],[ClienteID]],Clientes!A:A,Clientes!G:G,"No encontrado",0)</f>
        <v>AG05</v>
      </c>
      <c r="E227" s="9">
        <v>45675</v>
      </c>
      <c r="F227" s="10">
        <v>1.3667106955175631E-2</v>
      </c>
      <c r="G227" s="10">
        <f t="shared" si="12"/>
        <v>1.1318529275479161E-3</v>
      </c>
      <c r="H227" s="8"/>
      <c r="I227" s="11">
        <v>13382</v>
      </c>
      <c r="J227" s="9" t="str">
        <f t="shared" si="13"/>
        <v/>
      </c>
      <c r="K227" s="11">
        <f t="shared" ca="1" si="14"/>
        <v>13657.275071594888</v>
      </c>
      <c r="L227" s="11">
        <f ca="1">Tabla2[[#This Row],[SaldoActual]]-Tabla2[[#This Row],[MontoDepositado]]</f>
        <v>275.27507159488778</v>
      </c>
      <c r="M227" s="7" t="str">
        <f t="shared" ca="1" si="15"/>
        <v>Vigente</v>
      </c>
    </row>
    <row r="228" spans="1:13" x14ac:dyDescent="0.25">
      <c r="A228" t="s">
        <v>1483</v>
      </c>
      <c r="B228" t="s">
        <v>816</v>
      </c>
      <c r="C228" s="8" t="s">
        <v>45</v>
      </c>
      <c r="D228" s="8" t="str">
        <f>_xlfn.XLOOKUP(Tabla2[[#This Row],[ClienteID]],Clientes!A:A,Clientes!G:G,"No encontrado",0)</f>
        <v>AG08</v>
      </c>
      <c r="E228" s="9">
        <v>45847</v>
      </c>
      <c r="F228" s="10">
        <v>1.3766496090397377E-2</v>
      </c>
      <c r="G228" s="10">
        <f t="shared" si="12"/>
        <v>1.1400325653847521E-3</v>
      </c>
      <c r="H228" s="8"/>
      <c r="I228" s="11">
        <v>12663</v>
      </c>
      <c r="J228" s="9" t="str">
        <f t="shared" si="13"/>
        <v/>
      </c>
      <c r="K228" s="11">
        <f t="shared" ca="1" si="14"/>
        <v>12851.960108704732</v>
      </c>
      <c r="L228" s="11">
        <f ca="1">Tabla2[[#This Row],[SaldoActual]]-Tabla2[[#This Row],[MontoDepositado]]</f>
        <v>188.96010870473219</v>
      </c>
      <c r="M228" s="7" t="str">
        <f t="shared" ca="1" si="15"/>
        <v>Vigente</v>
      </c>
    </row>
    <row r="229" spans="1:13" x14ac:dyDescent="0.25">
      <c r="A229" t="s">
        <v>1484</v>
      </c>
      <c r="B229" t="s">
        <v>642</v>
      </c>
      <c r="C229" s="8" t="s">
        <v>48</v>
      </c>
      <c r="D229" s="8" t="str">
        <f>_xlfn.XLOOKUP(Tabla2[[#This Row],[ClienteID]],Clientes!A:A,Clientes!G:G,"No encontrado",0)</f>
        <v>AG01</v>
      </c>
      <c r="E229" s="9">
        <v>45768</v>
      </c>
      <c r="F229" s="10">
        <v>4.952010038373883E-2</v>
      </c>
      <c r="G229" s="10">
        <f t="shared" si="12"/>
        <v>4.0358733268925917E-3</v>
      </c>
      <c r="H229" s="8">
        <v>6</v>
      </c>
      <c r="I229" s="11">
        <v>34475</v>
      </c>
      <c r="J229" s="9">
        <f t="shared" si="13"/>
        <v>45951</v>
      </c>
      <c r="K229" s="11">
        <f t="shared" ca="1" si="14"/>
        <v>35318.28893446915</v>
      </c>
      <c r="L229" s="11">
        <f ca="1">Tabla2[[#This Row],[SaldoActual]]-Tabla2[[#This Row],[MontoDepositado]]</f>
        <v>843.28893446915026</v>
      </c>
      <c r="M229" s="7" t="str">
        <f t="shared" ca="1" si="15"/>
        <v>Vencido</v>
      </c>
    </row>
    <row r="230" spans="1:13" x14ac:dyDescent="0.25">
      <c r="A230" t="s">
        <v>1485</v>
      </c>
      <c r="B230" t="s">
        <v>413</v>
      </c>
      <c r="C230" s="8" t="s">
        <v>45</v>
      </c>
      <c r="D230" s="8" t="str">
        <f>_xlfn.XLOOKUP(Tabla2[[#This Row],[ClienteID]],Clientes!A:A,Clientes!G:G,"No encontrado",0)</f>
        <v>AG06</v>
      </c>
      <c r="E230" s="9">
        <v>46179</v>
      </c>
      <c r="F230" s="10">
        <v>9.0046358395864182E-3</v>
      </c>
      <c r="G230" s="10">
        <f t="shared" si="12"/>
        <v>7.4730708240844379E-4</v>
      </c>
      <c r="H230" s="8"/>
      <c r="I230" s="11">
        <v>28664</v>
      </c>
      <c r="J230" s="9" t="str">
        <f t="shared" si="13"/>
        <v/>
      </c>
      <c r="K230" s="11">
        <f t="shared" ca="1" si="14"/>
        <v>28706.857628343496</v>
      </c>
      <c r="L230" s="11">
        <f ca="1">Tabla2[[#This Row],[SaldoActual]]-Tabla2[[#This Row],[MontoDepositado]]</f>
        <v>42.85762834349589</v>
      </c>
      <c r="M230" s="7" t="str">
        <f t="shared" ca="1" si="15"/>
        <v>Vigente</v>
      </c>
    </row>
    <row r="231" spans="1:13" x14ac:dyDescent="0.25">
      <c r="A231" t="s">
        <v>1486</v>
      </c>
      <c r="B231" t="s">
        <v>380</v>
      </c>
      <c r="C231" s="8" t="s">
        <v>52</v>
      </c>
      <c r="D231" s="8" t="str">
        <f>_xlfn.XLOOKUP(Tabla2[[#This Row],[ClienteID]],Clientes!A:A,Clientes!G:G,"No encontrado",0)</f>
        <v>AG08</v>
      </c>
      <c r="E231" s="9">
        <v>46222</v>
      </c>
      <c r="F231" s="10">
        <v>3.6804946430307267E-2</v>
      </c>
      <c r="G231" s="10">
        <f t="shared" si="12"/>
        <v>3.0165253726843755E-3</v>
      </c>
      <c r="H231" s="8">
        <v>6</v>
      </c>
      <c r="I231" s="11">
        <v>49063</v>
      </c>
      <c r="J231" s="9">
        <f t="shared" si="13"/>
        <v>46406</v>
      </c>
      <c r="K231" s="11">
        <f t="shared" ca="1" si="14"/>
        <v>49063</v>
      </c>
      <c r="L231" s="11">
        <f ca="1">Tabla2[[#This Row],[SaldoActual]]-Tabla2[[#This Row],[MontoDepositado]]</f>
        <v>0</v>
      </c>
      <c r="M231" s="7" t="str">
        <f t="shared" ca="1" si="15"/>
        <v>Vigente</v>
      </c>
    </row>
    <row r="232" spans="1:13" x14ac:dyDescent="0.25">
      <c r="A232" t="s">
        <v>1487</v>
      </c>
      <c r="B232" t="s">
        <v>531</v>
      </c>
      <c r="C232" s="8" t="s">
        <v>45</v>
      </c>
      <c r="D232" s="8" t="str">
        <f>_xlfn.XLOOKUP(Tabla2[[#This Row],[ClienteID]],Clientes!A:A,Clientes!G:G,"No encontrado",0)</f>
        <v>AG03</v>
      </c>
      <c r="E232" s="9">
        <v>46084</v>
      </c>
      <c r="F232" s="10">
        <v>9.3713732400121288E-3</v>
      </c>
      <c r="G232" s="10">
        <f t="shared" si="12"/>
        <v>7.7761338026616222E-4</v>
      </c>
      <c r="H232" s="8"/>
      <c r="I232" s="11">
        <v>15714</v>
      </c>
      <c r="J232" s="9" t="str">
        <f t="shared" si="13"/>
        <v/>
      </c>
      <c r="K232" s="11">
        <f t="shared" ca="1" si="14"/>
        <v>15775.192177023844</v>
      </c>
      <c r="L232" s="11">
        <f ca="1">Tabla2[[#This Row],[SaldoActual]]-Tabla2[[#This Row],[MontoDepositado]]</f>
        <v>61.192177023844124</v>
      </c>
      <c r="M232" s="7" t="str">
        <f t="shared" ca="1" si="15"/>
        <v>Vigente</v>
      </c>
    </row>
    <row r="233" spans="1:13" x14ac:dyDescent="0.25">
      <c r="A233" t="s">
        <v>1488</v>
      </c>
      <c r="B233" t="s">
        <v>597</v>
      </c>
      <c r="C233" s="8" t="s">
        <v>46</v>
      </c>
      <c r="D233" s="8" t="str">
        <f>_xlfn.XLOOKUP(Tabla2[[#This Row],[ClienteID]],Clientes!A:A,Clientes!G:G,"No encontrado",0)</f>
        <v>AG04</v>
      </c>
      <c r="E233" s="9">
        <v>45660</v>
      </c>
      <c r="F233" s="10">
        <v>3.5091832082012782E-2</v>
      </c>
      <c r="G233" s="10">
        <f t="shared" si="12"/>
        <v>2.8783135320904485E-3</v>
      </c>
      <c r="H233" s="8">
        <v>3</v>
      </c>
      <c r="I233" s="11">
        <v>27259</v>
      </c>
      <c r="J233" s="9">
        <f t="shared" si="13"/>
        <v>45750</v>
      </c>
      <c r="K233" s="11">
        <f t="shared" ca="1" si="14"/>
        <v>27495.057992725116</v>
      </c>
      <c r="L233" s="11">
        <f ca="1">Tabla2[[#This Row],[SaldoActual]]-Tabla2[[#This Row],[MontoDepositado]]</f>
        <v>236.05799272511649</v>
      </c>
      <c r="M233" s="7" t="str">
        <f t="shared" ca="1" si="15"/>
        <v>Vencido</v>
      </c>
    </row>
    <row r="234" spans="1:13" x14ac:dyDescent="0.25">
      <c r="A234" t="s">
        <v>1489</v>
      </c>
      <c r="B234" t="s">
        <v>489</v>
      </c>
      <c r="C234" s="8" t="s">
        <v>45</v>
      </c>
      <c r="D234" s="8" t="str">
        <f>_xlfn.XLOOKUP(Tabla2[[#This Row],[ClienteID]],Clientes!A:A,Clientes!G:G,"No encontrado",0)</f>
        <v>AG04</v>
      </c>
      <c r="E234" s="9">
        <v>45806</v>
      </c>
      <c r="F234" s="10">
        <v>6.7855051615982875E-3</v>
      </c>
      <c r="G234" s="10">
        <f t="shared" si="12"/>
        <v>5.6370775988301425E-4</v>
      </c>
      <c r="H234" s="8"/>
      <c r="I234" s="11">
        <v>39768</v>
      </c>
      <c r="J234" s="9" t="str">
        <f t="shared" si="13"/>
        <v/>
      </c>
      <c r="K234" s="11">
        <f t="shared" ca="1" si="14"/>
        <v>40082.997980873894</v>
      </c>
      <c r="L234" s="11">
        <f ca="1">Tabla2[[#This Row],[SaldoActual]]-Tabla2[[#This Row],[MontoDepositado]]</f>
        <v>314.99798087389354</v>
      </c>
      <c r="M234" s="7" t="str">
        <f t="shared" ca="1" si="15"/>
        <v>Vigente</v>
      </c>
    </row>
    <row r="235" spans="1:13" x14ac:dyDescent="0.25">
      <c r="A235" t="s">
        <v>1490</v>
      </c>
      <c r="B235" t="s">
        <v>120</v>
      </c>
      <c r="C235" s="8" t="s">
        <v>50</v>
      </c>
      <c r="D235" s="8" t="str">
        <f>_xlfn.XLOOKUP(Tabla2[[#This Row],[ClienteID]],Clientes!A:A,Clientes!G:G,"No encontrado",0)</f>
        <v>AG05</v>
      </c>
      <c r="E235" s="9">
        <v>46223</v>
      </c>
      <c r="F235" s="10">
        <v>5.6765537275817637E-2</v>
      </c>
      <c r="G235" s="10">
        <f t="shared" si="12"/>
        <v>4.6116731211571782E-3</v>
      </c>
      <c r="H235" s="8">
        <v>12</v>
      </c>
      <c r="I235" s="11">
        <v>5959</v>
      </c>
      <c r="J235" s="9">
        <f t="shared" si="13"/>
        <v>46588</v>
      </c>
      <c r="K235" s="11">
        <f t="shared" ca="1" si="14"/>
        <v>5959</v>
      </c>
      <c r="L235" s="11">
        <f ca="1">Tabla2[[#This Row],[SaldoActual]]-Tabla2[[#This Row],[MontoDepositado]]</f>
        <v>0</v>
      </c>
      <c r="M235" s="7" t="str">
        <f t="shared" ca="1" si="15"/>
        <v>Vigente</v>
      </c>
    </row>
    <row r="236" spans="1:13" x14ac:dyDescent="0.25">
      <c r="A236" t="s">
        <v>1491</v>
      </c>
      <c r="B236" t="s">
        <v>765</v>
      </c>
      <c r="C236" s="8" t="s">
        <v>45</v>
      </c>
      <c r="D236" s="8" t="str">
        <f>_xlfn.XLOOKUP(Tabla2[[#This Row],[ClienteID]],Clientes!A:A,Clientes!G:G,"No encontrado",0)</f>
        <v>AG07</v>
      </c>
      <c r="E236" s="9">
        <v>46163</v>
      </c>
      <c r="F236" s="10">
        <v>5.084079492167588E-3</v>
      </c>
      <c r="G236" s="10">
        <f t="shared" si="12"/>
        <v>4.2268924108790351E-4</v>
      </c>
      <c r="H236" s="8"/>
      <c r="I236" s="11">
        <v>5725</v>
      </c>
      <c r="J236" s="9" t="str">
        <f t="shared" si="13"/>
        <v/>
      </c>
      <c r="K236" s="11">
        <f t="shared" ca="1" si="14"/>
        <v>5729.8408146744205</v>
      </c>
      <c r="L236" s="11">
        <f ca="1">Tabla2[[#This Row],[SaldoActual]]-Tabla2[[#This Row],[MontoDepositado]]</f>
        <v>4.8408146744204714</v>
      </c>
      <c r="M236" s="7" t="str">
        <f t="shared" ca="1" si="15"/>
        <v>Vigente</v>
      </c>
    </row>
    <row r="237" spans="1:13" x14ac:dyDescent="0.25">
      <c r="A237" t="s">
        <v>1492</v>
      </c>
      <c r="B237" t="s">
        <v>762</v>
      </c>
      <c r="C237" s="8" t="s">
        <v>52</v>
      </c>
      <c r="D237" s="8" t="str">
        <f>_xlfn.XLOOKUP(Tabla2[[#This Row],[ClienteID]],Clientes!A:A,Clientes!G:G,"No encontrado",0)</f>
        <v>AG03</v>
      </c>
      <c r="E237" s="9">
        <v>45986</v>
      </c>
      <c r="F237" s="10">
        <v>4.3762277056578938E-2</v>
      </c>
      <c r="G237" s="10">
        <f t="shared" si="12"/>
        <v>3.575690881244542E-3</v>
      </c>
      <c r="H237" s="8">
        <v>6</v>
      </c>
      <c r="I237" s="11">
        <v>15926</v>
      </c>
      <c r="J237" s="9">
        <f t="shared" si="13"/>
        <v>46167</v>
      </c>
      <c r="K237" s="11">
        <f t="shared" ca="1" si="14"/>
        <v>16270.747662496753</v>
      </c>
      <c r="L237" s="11">
        <f ca="1">Tabla2[[#This Row],[SaldoActual]]-Tabla2[[#This Row],[MontoDepositado]]</f>
        <v>344.74766249675304</v>
      </c>
      <c r="M237" s="7" t="str">
        <f t="shared" ca="1" si="15"/>
        <v>Vencido</v>
      </c>
    </row>
    <row r="238" spans="1:13" x14ac:dyDescent="0.25">
      <c r="A238" t="s">
        <v>1493</v>
      </c>
      <c r="B238" t="s">
        <v>314</v>
      </c>
      <c r="C238" s="8" t="s">
        <v>52</v>
      </c>
      <c r="D238" s="8" t="str">
        <f>_xlfn.XLOOKUP(Tabla2[[#This Row],[ClienteID]],Clientes!A:A,Clientes!G:G,"No encontrado",0)</f>
        <v>AG03</v>
      </c>
      <c r="E238" s="9">
        <v>46097</v>
      </c>
      <c r="F238" s="10">
        <v>4.1710507152584814E-2</v>
      </c>
      <c r="G238" s="10">
        <f t="shared" si="12"/>
        <v>3.411144799346566E-3</v>
      </c>
      <c r="H238" s="8">
        <v>6</v>
      </c>
      <c r="I238" s="11">
        <v>21102</v>
      </c>
      <c r="J238" s="9">
        <f t="shared" si="13"/>
        <v>46281</v>
      </c>
      <c r="K238" s="11">
        <f t="shared" ca="1" si="14"/>
        <v>21391.404509073567</v>
      </c>
      <c r="L238" s="11">
        <f ca="1">Tabla2[[#This Row],[SaldoActual]]-Tabla2[[#This Row],[MontoDepositado]]</f>
        <v>289.40450907356717</v>
      </c>
      <c r="M238" s="7" t="str">
        <f t="shared" ca="1" si="15"/>
        <v>Vigente</v>
      </c>
    </row>
    <row r="239" spans="1:13" x14ac:dyDescent="0.25">
      <c r="A239" t="s">
        <v>1494</v>
      </c>
      <c r="B239" t="s">
        <v>582</v>
      </c>
      <c r="C239" s="8" t="s">
        <v>48</v>
      </c>
      <c r="D239" s="8" t="str">
        <f>_xlfn.XLOOKUP(Tabla2[[#This Row],[ClienteID]],Clientes!A:A,Clientes!G:G,"No encontrado",0)</f>
        <v>AG05</v>
      </c>
      <c r="E239" s="9">
        <v>45813</v>
      </c>
      <c r="F239" s="10">
        <v>4.1112890841353361E-2</v>
      </c>
      <c r="G239" s="10">
        <f t="shared" si="12"/>
        <v>3.3631618109495331E-3</v>
      </c>
      <c r="H239" s="8">
        <v>6</v>
      </c>
      <c r="I239" s="11">
        <v>6528</v>
      </c>
      <c r="J239" s="9">
        <f t="shared" si="13"/>
        <v>45996</v>
      </c>
      <c r="K239" s="11">
        <f t="shared" ca="1" si="14"/>
        <v>6660.8408600431167</v>
      </c>
      <c r="L239" s="11">
        <f ca="1">Tabla2[[#This Row],[SaldoActual]]-Tabla2[[#This Row],[MontoDepositado]]</f>
        <v>132.84086004311666</v>
      </c>
      <c r="M239" s="7" t="str">
        <f t="shared" ca="1" si="15"/>
        <v>Vencido</v>
      </c>
    </row>
    <row r="240" spans="1:13" x14ac:dyDescent="0.25">
      <c r="A240" t="s">
        <v>1495</v>
      </c>
      <c r="B240" t="s">
        <v>353</v>
      </c>
      <c r="C240" s="8" t="s">
        <v>45</v>
      </c>
      <c r="D240" s="8" t="str">
        <f>_xlfn.XLOOKUP(Tabla2[[#This Row],[ClienteID]],Clientes!A:A,Clientes!G:G,"No encontrado",0)</f>
        <v>AG05</v>
      </c>
      <c r="E240" s="9">
        <v>46052</v>
      </c>
      <c r="F240" s="10">
        <v>1.2093107047752412E-2</v>
      </c>
      <c r="G240" s="10">
        <f t="shared" si="12"/>
        <v>1.0022160202458608E-3</v>
      </c>
      <c r="H240" s="8"/>
      <c r="I240" s="11">
        <v>1766</v>
      </c>
      <c r="J240" s="9" t="str">
        <f t="shared" si="13"/>
        <v/>
      </c>
      <c r="K240" s="11">
        <f t="shared" ca="1" si="14"/>
        <v>1776.6461240674298</v>
      </c>
      <c r="L240" s="11">
        <f ca="1">Tabla2[[#This Row],[SaldoActual]]-Tabla2[[#This Row],[MontoDepositado]]</f>
        <v>10.64612406742981</v>
      </c>
      <c r="M240" s="7" t="str">
        <f t="shared" ca="1" si="15"/>
        <v>Vigente</v>
      </c>
    </row>
    <row r="241" spans="1:13" x14ac:dyDescent="0.25">
      <c r="A241" t="s">
        <v>1496</v>
      </c>
      <c r="B241" t="s">
        <v>395</v>
      </c>
      <c r="C241" s="8" t="s">
        <v>48</v>
      </c>
      <c r="D241" s="8" t="str">
        <f>_xlfn.XLOOKUP(Tabla2[[#This Row],[ClienteID]],Clientes!A:A,Clientes!G:G,"No encontrado",0)</f>
        <v>AG04</v>
      </c>
      <c r="E241" s="9">
        <v>46171</v>
      </c>
      <c r="F241" s="10">
        <v>4.3589368525708071E-2</v>
      </c>
      <c r="G241" s="10">
        <f t="shared" si="12"/>
        <v>3.5618355571838123E-3</v>
      </c>
      <c r="H241" s="8">
        <v>6</v>
      </c>
      <c r="I241" s="11">
        <v>5822</v>
      </c>
      <c r="J241" s="9">
        <f t="shared" si="13"/>
        <v>46355</v>
      </c>
      <c r="K241" s="11">
        <f t="shared" ca="1" si="14"/>
        <v>5863.5478750353559</v>
      </c>
      <c r="L241" s="11">
        <f ca="1">Tabla2[[#This Row],[SaldoActual]]-Tabla2[[#This Row],[MontoDepositado]]</f>
        <v>41.547875035355901</v>
      </c>
      <c r="M241" s="7" t="str">
        <f t="shared" ca="1" si="15"/>
        <v>Vigente</v>
      </c>
    </row>
    <row r="242" spans="1:13" x14ac:dyDescent="0.25">
      <c r="A242" t="s">
        <v>1497</v>
      </c>
      <c r="B242" t="s">
        <v>714</v>
      </c>
      <c r="C242" s="8" t="s">
        <v>48</v>
      </c>
      <c r="D242" s="8" t="str">
        <f>_xlfn.XLOOKUP(Tabla2[[#This Row],[ClienteID]],Clientes!A:A,Clientes!G:G,"No encontrado",0)</f>
        <v>AG08</v>
      </c>
      <c r="E242" s="9">
        <v>46172</v>
      </c>
      <c r="F242" s="10">
        <v>4.5826445192960148E-2</v>
      </c>
      <c r="G242" s="10">
        <f t="shared" si="12"/>
        <v>3.7409323434980379E-3</v>
      </c>
      <c r="H242" s="8">
        <v>6</v>
      </c>
      <c r="I242" s="11">
        <v>36551</v>
      </c>
      <c r="J242" s="9">
        <f t="shared" si="13"/>
        <v>46356</v>
      </c>
      <c r="K242" s="11">
        <f t="shared" ca="1" si="14"/>
        <v>36824.981151877859</v>
      </c>
      <c r="L242" s="11">
        <f ca="1">Tabla2[[#This Row],[SaldoActual]]-Tabla2[[#This Row],[MontoDepositado]]</f>
        <v>273.98115187785879</v>
      </c>
      <c r="M242" s="7" t="str">
        <f t="shared" ca="1" si="15"/>
        <v>Vigente</v>
      </c>
    </row>
    <row r="243" spans="1:13" x14ac:dyDescent="0.25">
      <c r="A243" t="s">
        <v>1498</v>
      </c>
      <c r="B243" t="s">
        <v>597</v>
      </c>
      <c r="C243" s="8" t="s">
        <v>52</v>
      </c>
      <c r="D243" s="8" t="str">
        <f>_xlfn.XLOOKUP(Tabla2[[#This Row],[ClienteID]],Clientes!A:A,Clientes!G:G,"No encontrado",0)</f>
        <v>AG04</v>
      </c>
      <c r="E243" s="9">
        <v>45001</v>
      </c>
      <c r="F243" s="10">
        <v>3.8486006817608859E-2</v>
      </c>
      <c r="G243" s="10">
        <f t="shared" si="12"/>
        <v>3.1519477929207174E-3</v>
      </c>
      <c r="H243" s="8">
        <v>6</v>
      </c>
      <c r="I243" s="11">
        <v>791</v>
      </c>
      <c r="J243" s="9">
        <f t="shared" si="13"/>
        <v>45185</v>
      </c>
      <c r="K243" s="11">
        <f t="shared" ca="1" si="14"/>
        <v>806.07751688758083</v>
      </c>
      <c r="L243" s="11">
        <f ca="1">Tabla2[[#This Row],[SaldoActual]]-Tabla2[[#This Row],[MontoDepositado]]</f>
        <v>15.077516887580828</v>
      </c>
      <c r="M243" s="7" t="str">
        <f t="shared" ca="1" si="15"/>
        <v>Vencido</v>
      </c>
    </row>
    <row r="244" spans="1:13" x14ac:dyDescent="0.25">
      <c r="A244" t="s">
        <v>1499</v>
      </c>
      <c r="B244" t="s">
        <v>799</v>
      </c>
      <c r="C244" s="8" t="s">
        <v>45</v>
      </c>
      <c r="D244" s="8" t="str">
        <f>_xlfn.XLOOKUP(Tabla2[[#This Row],[ClienteID]],Clientes!A:A,Clientes!G:G,"No encontrado",0)</f>
        <v>AG04</v>
      </c>
      <c r="E244" s="9">
        <v>45758</v>
      </c>
      <c r="F244" s="10">
        <v>1.2704889538163681E-2</v>
      </c>
      <c r="G244" s="10">
        <f t="shared" si="12"/>
        <v>1.052625251842132E-3</v>
      </c>
      <c r="H244" s="8"/>
      <c r="I244" s="11">
        <v>7562</v>
      </c>
      <c r="J244" s="9" t="str">
        <f t="shared" si="13"/>
        <v/>
      </c>
      <c r="K244" s="11">
        <f t="shared" ca="1" si="14"/>
        <v>7690.3696520872663</v>
      </c>
      <c r="L244" s="11">
        <f ca="1">Tabla2[[#This Row],[SaldoActual]]-Tabla2[[#This Row],[MontoDepositado]]</f>
        <v>128.36965208726633</v>
      </c>
      <c r="M244" s="7" t="str">
        <f t="shared" ca="1" si="15"/>
        <v>Vigente</v>
      </c>
    </row>
    <row r="245" spans="1:13" x14ac:dyDescent="0.25">
      <c r="A245" t="s">
        <v>1500</v>
      </c>
      <c r="B245" t="s">
        <v>235</v>
      </c>
      <c r="C245" s="8" t="s">
        <v>45</v>
      </c>
      <c r="D245" s="8" t="str">
        <f>_xlfn.XLOOKUP(Tabla2[[#This Row],[ClienteID]],Clientes!A:A,Clientes!G:G,"No encontrado",0)</f>
        <v>AG03</v>
      </c>
      <c r="E245" s="9">
        <v>46071</v>
      </c>
      <c r="F245" s="10">
        <v>1.0688330254406884E-2</v>
      </c>
      <c r="G245" s="10">
        <f t="shared" si="12"/>
        <v>8.8636040463430099E-4</v>
      </c>
      <c r="H245" s="8"/>
      <c r="I245" s="11">
        <v>9967</v>
      </c>
      <c r="J245" s="9" t="str">
        <f t="shared" si="13"/>
        <v/>
      </c>
      <c r="K245" s="11">
        <f t="shared" ca="1" si="14"/>
        <v>10011.250144418689</v>
      </c>
      <c r="L245" s="11">
        <f ca="1">Tabla2[[#This Row],[SaldoActual]]-Tabla2[[#This Row],[MontoDepositado]]</f>
        <v>44.25014441868916</v>
      </c>
      <c r="M245" s="7" t="str">
        <f t="shared" ca="1" si="15"/>
        <v>Vigente</v>
      </c>
    </row>
    <row r="246" spans="1:13" x14ac:dyDescent="0.25">
      <c r="A246" t="s">
        <v>1501</v>
      </c>
      <c r="B246" t="s">
        <v>314</v>
      </c>
      <c r="C246" s="8" t="s">
        <v>52</v>
      </c>
      <c r="D246" s="8" t="str">
        <f>_xlfn.XLOOKUP(Tabla2[[#This Row],[ClienteID]],Clientes!A:A,Clientes!G:G,"No encontrado",0)</f>
        <v>AG03</v>
      </c>
      <c r="E246" s="9">
        <v>46230</v>
      </c>
      <c r="F246" s="10">
        <v>4.0985481336527629E-2</v>
      </c>
      <c r="G246" s="10">
        <f t="shared" si="12"/>
        <v>3.3529287568361266E-3</v>
      </c>
      <c r="H246" s="8">
        <v>6</v>
      </c>
      <c r="I246" s="11">
        <v>25372</v>
      </c>
      <c r="J246" s="9">
        <f t="shared" si="13"/>
        <v>46414</v>
      </c>
      <c r="K246" s="11">
        <f t="shared" ca="1" si="14"/>
        <v>25372</v>
      </c>
      <c r="L246" s="11">
        <f ca="1">Tabla2[[#This Row],[SaldoActual]]-Tabla2[[#This Row],[MontoDepositado]]</f>
        <v>0</v>
      </c>
      <c r="M246" s="7" t="str">
        <f t="shared" ca="1" si="15"/>
        <v>Vigente</v>
      </c>
    </row>
    <row r="247" spans="1:13" x14ac:dyDescent="0.25">
      <c r="A247" t="s">
        <v>1502</v>
      </c>
      <c r="B247" t="s">
        <v>540</v>
      </c>
      <c r="C247" s="8" t="s">
        <v>50</v>
      </c>
      <c r="D247" s="8" t="str">
        <f>_xlfn.XLOOKUP(Tabla2[[#This Row],[ClienteID]],Clientes!A:A,Clientes!G:G,"No encontrado",0)</f>
        <v>AG05</v>
      </c>
      <c r="E247" s="9">
        <v>45806</v>
      </c>
      <c r="F247" s="10">
        <v>6.7261672866857442E-2</v>
      </c>
      <c r="G247" s="10">
        <f t="shared" si="12"/>
        <v>5.4394222229534606E-3</v>
      </c>
      <c r="H247" s="8">
        <v>12</v>
      </c>
      <c r="I247" s="11">
        <v>35918</v>
      </c>
      <c r="J247" s="9">
        <f t="shared" si="13"/>
        <v>46171</v>
      </c>
      <c r="K247" s="11">
        <f t="shared" ca="1" si="14"/>
        <v>38333.904766031839</v>
      </c>
      <c r="L247" s="11">
        <f ca="1">Tabla2[[#This Row],[SaldoActual]]-Tabla2[[#This Row],[MontoDepositado]]</f>
        <v>2415.9047660318392</v>
      </c>
      <c r="M247" s="7" t="str">
        <f t="shared" ca="1" si="15"/>
        <v>Vencido</v>
      </c>
    </row>
    <row r="248" spans="1:13" x14ac:dyDescent="0.25">
      <c r="A248" t="s">
        <v>1503</v>
      </c>
      <c r="B248" t="s">
        <v>627</v>
      </c>
      <c r="C248" s="8" t="s">
        <v>48</v>
      </c>
      <c r="D248" s="8" t="str">
        <f>_xlfn.XLOOKUP(Tabla2[[#This Row],[ClienteID]],Clientes!A:A,Clientes!G:G,"No encontrado",0)</f>
        <v>AG03</v>
      </c>
      <c r="E248" s="9">
        <v>46005</v>
      </c>
      <c r="F248" s="10">
        <v>4.5651928737134209E-2</v>
      </c>
      <c r="G248" s="10">
        <f t="shared" si="12"/>
        <v>3.7269734699854062E-3</v>
      </c>
      <c r="H248" s="8">
        <v>6</v>
      </c>
      <c r="I248" s="11">
        <v>39750</v>
      </c>
      <c r="J248" s="9">
        <f t="shared" si="13"/>
        <v>46187</v>
      </c>
      <c r="K248" s="11">
        <f t="shared" ca="1" si="14"/>
        <v>40647.206554082135</v>
      </c>
      <c r="L248" s="11">
        <f ca="1">Tabla2[[#This Row],[SaldoActual]]-Tabla2[[#This Row],[MontoDepositado]]</f>
        <v>897.20655408213497</v>
      </c>
      <c r="M248" s="7" t="str">
        <f t="shared" ca="1" si="15"/>
        <v>Vencido</v>
      </c>
    </row>
    <row r="249" spans="1:13" x14ac:dyDescent="0.25">
      <c r="A249" t="s">
        <v>1504</v>
      </c>
      <c r="B249" t="s">
        <v>453</v>
      </c>
      <c r="C249" s="8" t="s">
        <v>46</v>
      </c>
      <c r="D249" s="8" t="str">
        <f>_xlfn.XLOOKUP(Tabla2[[#This Row],[ClienteID]],Clientes!A:A,Clientes!G:G,"No encontrado",0)</f>
        <v>AG08</v>
      </c>
      <c r="E249" s="9">
        <v>46036</v>
      </c>
      <c r="F249" s="10">
        <v>3.8024523824041555E-2</v>
      </c>
      <c r="G249" s="10">
        <f t="shared" si="12"/>
        <v>3.1147917892007104E-3</v>
      </c>
      <c r="H249" s="8">
        <v>3</v>
      </c>
      <c r="I249" s="11">
        <v>46846</v>
      </c>
      <c r="J249" s="9">
        <f t="shared" si="13"/>
        <v>46126</v>
      </c>
      <c r="K249" s="11">
        <f t="shared" ca="1" si="14"/>
        <v>47285.111513674521</v>
      </c>
      <c r="L249" s="11">
        <f ca="1">Tabla2[[#This Row],[SaldoActual]]-Tabla2[[#This Row],[MontoDepositado]]</f>
        <v>439.11151367452112</v>
      </c>
      <c r="M249" s="7" t="str">
        <f t="shared" ca="1" si="15"/>
        <v>Vencido</v>
      </c>
    </row>
    <row r="250" spans="1:13" x14ac:dyDescent="0.25">
      <c r="A250" t="s">
        <v>1505</v>
      </c>
      <c r="B250" t="s">
        <v>104</v>
      </c>
      <c r="C250" s="8" t="s">
        <v>50</v>
      </c>
      <c r="D250" s="8" t="str">
        <f>_xlfn.XLOOKUP(Tabla2[[#This Row],[ClienteID]],Clientes!A:A,Clientes!G:G,"No encontrado",0)</f>
        <v>AG03</v>
      </c>
      <c r="E250" s="9">
        <v>46214</v>
      </c>
      <c r="F250" s="10">
        <v>6.73077143017103E-2</v>
      </c>
      <c r="G250" s="10">
        <f t="shared" si="12"/>
        <v>5.4430366878621683E-3</v>
      </c>
      <c r="H250" s="8">
        <v>12</v>
      </c>
      <c r="I250" s="11">
        <v>43829</v>
      </c>
      <c r="J250" s="9">
        <f t="shared" si="13"/>
        <v>46579</v>
      </c>
      <c r="K250" s="11">
        <f t="shared" ca="1" si="14"/>
        <v>44067.562854992313</v>
      </c>
      <c r="L250" s="11">
        <f ca="1">Tabla2[[#This Row],[SaldoActual]]-Tabla2[[#This Row],[MontoDepositado]]</f>
        <v>238.56285499231308</v>
      </c>
      <c r="M250" s="7" t="str">
        <f t="shared" ca="1" si="15"/>
        <v>Vigente</v>
      </c>
    </row>
    <row r="251" spans="1:13" x14ac:dyDescent="0.25">
      <c r="A251" t="s">
        <v>1506</v>
      </c>
      <c r="B251" t="s">
        <v>219</v>
      </c>
      <c r="C251" s="8" t="s">
        <v>45</v>
      </c>
      <c r="D251" s="8" t="str">
        <f>_xlfn.XLOOKUP(Tabla2[[#This Row],[ClienteID]],Clientes!A:A,Clientes!G:G,"No encontrado",0)</f>
        <v>AG06</v>
      </c>
      <c r="E251" s="9">
        <v>46213</v>
      </c>
      <c r="F251" s="10">
        <v>1.024961588030191E-2</v>
      </c>
      <c r="G251" s="10">
        <f t="shared" si="12"/>
        <v>8.5014823415474616E-4</v>
      </c>
      <c r="H251" s="8"/>
      <c r="I251" s="11">
        <v>42864</v>
      </c>
      <c r="J251" s="9" t="str">
        <f t="shared" si="13"/>
        <v/>
      </c>
      <c r="K251" s="11">
        <f t="shared" ca="1" si="14"/>
        <v>42900.440753908806</v>
      </c>
      <c r="L251" s="11">
        <f ca="1">Tabla2[[#This Row],[SaldoActual]]-Tabla2[[#This Row],[MontoDepositado]]</f>
        <v>36.440753908806073</v>
      </c>
      <c r="M251" s="7" t="str">
        <f t="shared" ca="1" si="15"/>
        <v>Vigente</v>
      </c>
    </row>
    <row r="252" spans="1:13" x14ac:dyDescent="0.25">
      <c r="A252" t="s">
        <v>1507</v>
      </c>
      <c r="B252" t="s">
        <v>600</v>
      </c>
      <c r="C252" s="8" t="s">
        <v>46</v>
      </c>
      <c r="D252" s="8" t="str">
        <f>_xlfn.XLOOKUP(Tabla2[[#This Row],[ClienteID]],Clientes!A:A,Clientes!G:G,"No encontrado",0)</f>
        <v>AG07</v>
      </c>
      <c r="E252" s="9">
        <v>45610</v>
      </c>
      <c r="F252" s="10">
        <v>3.2110640842283711E-2</v>
      </c>
      <c r="G252" s="10">
        <f t="shared" si="12"/>
        <v>2.6372941772208058E-3</v>
      </c>
      <c r="H252" s="8">
        <v>3</v>
      </c>
      <c r="I252" s="11">
        <v>34125</v>
      </c>
      <c r="J252" s="9">
        <f t="shared" si="13"/>
        <v>45702</v>
      </c>
      <c r="K252" s="11">
        <f t="shared" ca="1" si="14"/>
        <v>34395.705668299677</v>
      </c>
      <c r="L252" s="11">
        <f ca="1">Tabla2[[#This Row],[SaldoActual]]-Tabla2[[#This Row],[MontoDepositado]]</f>
        <v>270.7056682996772</v>
      </c>
      <c r="M252" s="7" t="str">
        <f t="shared" ca="1" si="15"/>
        <v>Vencido</v>
      </c>
    </row>
    <row r="253" spans="1:13" x14ac:dyDescent="0.25">
      <c r="A253" t="s">
        <v>1508</v>
      </c>
      <c r="B253" t="s">
        <v>183</v>
      </c>
      <c r="C253" s="8" t="s">
        <v>46</v>
      </c>
      <c r="D253" s="8" t="str">
        <f>_xlfn.XLOOKUP(Tabla2[[#This Row],[ClienteID]],Clientes!A:A,Clientes!G:G,"No encontrado",0)</f>
        <v>AG04</v>
      </c>
      <c r="E253" s="9">
        <v>44796</v>
      </c>
      <c r="F253" s="10">
        <v>3.6740586088799147E-2</v>
      </c>
      <c r="G253" s="10">
        <f t="shared" si="12"/>
        <v>3.0113366497823701E-3</v>
      </c>
      <c r="H253" s="8">
        <v>3</v>
      </c>
      <c r="I253" s="11">
        <v>19747</v>
      </c>
      <c r="J253" s="9">
        <f t="shared" si="13"/>
        <v>44888</v>
      </c>
      <c r="K253" s="11">
        <f t="shared" ca="1" si="14"/>
        <v>19925.932339886429</v>
      </c>
      <c r="L253" s="11">
        <f ca="1">Tabla2[[#This Row],[SaldoActual]]-Tabla2[[#This Row],[MontoDepositado]]</f>
        <v>178.93233988642896</v>
      </c>
      <c r="M253" s="7" t="str">
        <f t="shared" ca="1" si="15"/>
        <v>Vencido</v>
      </c>
    </row>
    <row r="254" spans="1:13" x14ac:dyDescent="0.25">
      <c r="A254" t="s">
        <v>1509</v>
      </c>
      <c r="B254" t="s">
        <v>486</v>
      </c>
      <c r="C254" s="8" t="s">
        <v>50</v>
      </c>
      <c r="D254" s="8" t="str">
        <f>_xlfn.XLOOKUP(Tabla2[[#This Row],[ClienteID]],Clientes!A:A,Clientes!G:G,"No encontrado",0)</f>
        <v>AG06</v>
      </c>
      <c r="E254" s="9">
        <v>45347</v>
      </c>
      <c r="F254" s="10">
        <v>6.7223605128015701E-2</v>
      </c>
      <c r="G254" s="10">
        <f t="shared" si="12"/>
        <v>5.4364336219965281E-3</v>
      </c>
      <c r="H254" s="8">
        <v>12</v>
      </c>
      <c r="I254" s="11">
        <v>26883</v>
      </c>
      <c r="J254" s="9">
        <f t="shared" si="13"/>
        <v>45713</v>
      </c>
      <c r="K254" s="11">
        <f t="shared" ca="1" si="14"/>
        <v>28690.172176656477</v>
      </c>
      <c r="L254" s="11">
        <f ca="1">Tabla2[[#This Row],[SaldoActual]]-Tabla2[[#This Row],[MontoDepositado]]</f>
        <v>1807.1721766564769</v>
      </c>
      <c r="M254" s="7" t="str">
        <f t="shared" ca="1" si="15"/>
        <v>Vencido</v>
      </c>
    </row>
    <row r="255" spans="1:13" x14ac:dyDescent="0.25">
      <c r="A255" t="s">
        <v>1510</v>
      </c>
      <c r="B255" t="s">
        <v>332</v>
      </c>
      <c r="C255" s="8" t="s">
        <v>48</v>
      </c>
      <c r="D255" s="8" t="str">
        <f>_xlfn.XLOOKUP(Tabla2[[#This Row],[ClienteID]],Clientes!A:A,Clientes!G:G,"No encontrado",0)</f>
        <v>AG06</v>
      </c>
      <c r="E255" s="9">
        <v>45394</v>
      </c>
      <c r="F255" s="10">
        <v>4.1308027944183846E-2</v>
      </c>
      <c r="G255" s="10">
        <f t="shared" si="12"/>
        <v>3.378832266766052E-3</v>
      </c>
      <c r="H255" s="8">
        <v>6</v>
      </c>
      <c r="I255" s="11">
        <v>11428</v>
      </c>
      <c r="J255" s="9">
        <f t="shared" si="13"/>
        <v>45577</v>
      </c>
      <c r="K255" s="11">
        <f t="shared" ca="1" si="14"/>
        <v>11661.645627533009</v>
      </c>
      <c r="L255" s="11">
        <f ca="1">Tabla2[[#This Row],[SaldoActual]]-Tabla2[[#This Row],[MontoDepositado]]</f>
        <v>233.64562753300925</v>
      </c>
      <c r="M255" s="7" t="str">
        <f t="shared" ca="1" si="15"/>
        <v>Vencido</v>
      </c>
    </row>
    <row r="256" spans="1:13" x14ac:dyDescent="0.25">
      <c r="A256" t="s">
        <v>1511</v>
      </c>
      <c r="B256" t="s">
        <v>759</v>
      </c>
      <c r="C256" s="8" t="s">
        <v>48</v>
      </c>
      <c r="D256" s="8" t="str">
        <f>_xlfn.XLOOKUP(Tabla2[[#This Row],[ClienteID]],Clientes!A:A,Clientes!G:G,"No encontrado",0)</f>
        <v>AG02</v>
      </c>
      <c r="E256" s="9">
        <v>46235</v>
      </c>
      <c r="F256" s="10">
        <v>4.1815294548361137E-2</v>
      </c>
      <c r="G256" s="10">
        <f t="shared" si="12"/>
        <v>3.4195556448337605E-3</v>
      </c>
      <c r="H256" s="8">
        <v>6</v>
      </c>
      <c r="I256" s="11">
        <v>32689</v>
      </c>
      <c r="J256" s="9">
        <f t="shared" si="13"/>
        <v>46419</v>
      </c>
      <c r="K256" s="11">
        <f t="shared" ca="1" si="14"/>
        <v>32689</v>
      </c>
      <c r="L256" s="11">
        <f ca="1">Tabla2[[#This Row],[SaldoActual]]-Tabla2[[#This Row],[MontoDepositado]]</f>
        <v>0</v>
      </c>
      <c r="M256" s="7" t="str">
        <f t="shared" ca="1" si="15"/>
        <v>Vigente</v>
      </c>
    </row>
    <row r="257" spans="1:13" x14ac:dyDescent="0.25">
      <c r="A257" t="s">
        <v>1512</v>
      </c>
      <c r="B257" t="s">
        <v>323</v>
      </c>
      <c r="C257" s="8" t="s">
        <v>45</v>
      </c>
      <c r="D257" s="8" t="str">
        <f>_xlfn.XLOOKUP(Tabla2[[#This Row],[ClienteID]],Clientes!A:A,Clientes!G:G,"No encontrado",0)</f>
        <v>AG05</v>
      </c>
      <c r="E257" s="9">
        <v>46186</v>
      </c>
      <c r="F257" s="10">
        <v>1.020961554058903E-2</v>
      </c>
      <c r="G257" s="10">
        <f t="shared" si="12"/>
        <v>8.4684582652494456E-4</v>
      </c>
      <c r="H257" s="8"/>
      <c r="I257" s="11">
        <v>16636</v>
      </c>
      <c r="J257" s="9" t="str">
        <f t="shared" si="13"/>
        <v/>
      </c>
      <c r="K257" s="11">
        <f t="shared" ca="1" si="14"/>
        <v>16650.088127170067</v>
      </c>
      <c r="L257" s="11">
        <f ca="1">Tabla2[[#This Row],[SaldoActual]]-Tabla2[[#This Row],[MontoDepositado]]</f>
        <v>14.08812717006731</v>
      </c>
      <c r="M257" s="7" t="str">
        <f t="shared" ca="1" si="15"/>
        <v>Vigente</v>
      </c>
    </row>
    <row r="258" spans="1:13" x14ac:dyDescent="0.25">
      <c r="A258" t="s">
        <v>1513</v>
      </c>
      <c r="B258" t="s">
        <v>213</v>
      </c>
      <c r="C258" s="8" t="s">
        <v>48</v>
      </c>
      <c r="D258" s="8" t="str">
        <f>_xlfn.XLOOKUP(Tabla2[[#This Row],[ClienteID]],Clientes!A:A,Clientes!G:G,"No encontrado",0)</f>
        <v>AG04</v>
      </c>
      <c r="E258" s="9">
        <v>46098</v>
      </c>
      <c r="F258" s="10">
        <v>4.2934507775078165E-2</v>
      </c>
      <c r="G258" s="10">
        <f t="shared" si="12"/>
        <v>3.5093418619842609E-3</v>
      </c>
      <c r="H258" s="8">
        <v>6</v>
      </c>
      <c r="I258" s="11">
        <v>43600</v>
      </c>
      <c r="J258" s="9">
        <f t="shared" si="13"/>
        <v>46282</v>
      </c>
      <c r="K258" s="11">
        <f t="shared" ca="1" si="14"/>
        <v>44215.258494424328</v>
      </c>
      <c r="L258" s="11">
        <f ca="1">Tabla2[[#This Row],[SaldoActual]]-Tabla2[[#This Row],[MontoDepositado]]</f>
        <v>615.25849442432809</v>
      </c>
      <c r="M258" s="7" t="str">
        <f t="shared" ca="1" si="15"/>
        <v>Vigente</v>
      </c>
    </row>
    <row r="259" spans="1:13" x14ac:dyDescent="0.25">
      <c r="A259" t="s">
        <v>1514</v>
      </c>
      <c r="B259" t="s">
        <v>294</v>
      </c>
      <c r="C259" s="8" t="s">
        <v>48</v>
      </c>
      <c r="D259" s="8" t="str">
        <f>_xlfn.XLOOKUP(Tabla2[[#This Row],[ClienteID]],Clientes!A:A,Clientes!G:G,"No encontrado",0)</f>
        <v>AG01</v>
      </c>
      <c r="E259" s="9">
        <v>45909</v>
      </c>
      <c r="F259" s="10">
        <v>4.2691867037657032E-2</v>
      </c>
      <c r="G259" s="10">
        <f t="shared" ref="G259:G301" si="16">(1+F259)^(1/12)-1</f>
        <v>3.4898840874018067E-3</v>
      </c>
      <c r="H259" s="8">
        <v>6</v>
      </c>
      <c r="I259" s="11">
        <v>44026</v>
      </c>
      <c r="J259" s="9">
        <f t="shared" ref="J259:J301" si="17">IF(H259=0,"",EDATE(E259,H259))</f>
        <v>46090</v>
      </c>
      <c r="K259" s="11">
        <f t="shared" ref="K259:K301" ca="1" si="18">IF(C259="TD01",I259*(1+G259)^DATEDIF(E259,TODAY(),"m"),I259*(1+G259)^MIN(DATEDIF(E259,TODAY(),"m"),H259))</f>
        <v>44955.954426932025</v>
      </c>
      <c r="L259" s="11">
        <f ca="1">Tabla2[[#This Row],[SaldoActual]]-Tabla2[[#This Row],[MontoDepositado]]</f>
        <v>929.95442693202494</v>
      </c>
      <c r="M259" s="7" t="str">
        <f t="shared" ref="M259:M301" ca="1" si="19">IF(H259=0,"Vigente",IF(TODAY()&gt;J259,"Vencido","Vigente"))</f>
        <v>Vencido</v>
      </c>
    </row>
    <row r="260" spans="1:13" x14ac:dyDescent="0.25">
      <c r="A260" t="s">
        <v>1515</v>
      </c>
      <c r="B260" t="s">
        <v>288</v>
      </c>
      <c r="C260" s="8" t="s">
        <v>52</v>
      </c>
      <c r="D260" s="8" t="str">
        <f>_xlfn.XLOOKUP(Tabla2[[#This Row],[ClienteID]],Clientes!A:A,Clientes!G:G,"No encontrado",0)</f>
        <v>AG04</v>
      </c>
      <c r="E260" s="9">
        <v>45980</v>
      </c>
      <c r="F260" s="10">
        <v>3.3341364653911569E-2</v>
      </c>
      <c r="G260" s="10">
        <f t="shared" si="16"/>
        <v>2.7368713327384775E-3</v>
      </c>
      <c r="H260" s="8">
        <v>6</v>
      </c>
      <c r="I260" s="11">
        <v>46475</v>
      </c>
      <c r="J260" s="9">
        <f t="shared" si="17"/>
        <v>46161</v>
      </c>
      <c r="K260" s="11">
        <f t="shared" ca="1" si="18"/>
        <v>47243.417455646195</v>
      </c>
      <c r="L260" s="11">
        <f ca="1">Tabla2[[#This Row],[SaldoActual]]-Tabla2[[#This Row],[MontoDepositado]]</f>
        <v>768.41745564619487</v>
      </c>
      <c r="M260" s="7" t="str">
        <f t="shared" ca="1" si="19"/>
        <v>Vencido</v>
      </c>
    </row>
    <row r="261" spans="1:13" x14ac:dyDescent="0.25">
      <c r="A261" t="s">
        <v>1516</v>
      </c>
      <c r="B261" t="s">
        <v>347</v>
      </c>
      <c r="C261" s="8" t="s">
        <v>45</v>
      </c>
      <c r="D261" s="8" t="str">
        <f>_xlfn.XLOOKUP(Tabla2[[#This Row],[ClienteID]],Clientes!A:A,Clientes!G:G,"No encontrado",0)</f>
        <v>AG04</v>
      </c>
      <c r="E261" s="9">
        <v>45770</v>
      </c>
      <c r="F261" s="10">
        <v>1.0810744476681244E-2</v>
      </c>
      <c r="G261" s="10">
        <f t="shared" si="16"/>
        <v>8.9646209479155026E-4</v>
      </c>
      <c r="H261" s="8"/>
      <c r="I261" s="11">
        <v>32795</v>
      </c>
      <c r="J261" s="9" t="str">
        <f t="shared" si="17"/>
        <v/>
      </c>
      <c r="K261" s="11">
        <f t="shared" ca="1" si="18"/>
        <v>33238.770224118736</v>
      </c>
      <c r="L261" s="11">
        <f ca="1">Tabla2[[#This Row],[SaldoActual]]-Tabla2[[#This Row],[MontoDepositado]]</f>
        <v>443.77022411873622</v>
      </c>
      <c r="M261" s="7" t="str">
        <f t="shared" ca="1" si="19"/>
        <v>Vigente</v>
      </c>
    </row>
    <row r="262" spans="1:13" x14ac:dyDescent="0.25">
      <c r="A262" t="s">
        <v>1517</v>
      </c>
      <c r="B262" t="s">
        <v>310</v>
      </c>
      <c r="C262" s="8" t="s">
        <v>48</v>
      </c>
      <c r="D262" s="8" t="str">
        <f>_xlfn.XLOOKUP(Tabla2[[#This Row],[ClienteID]],Clientes!A:A,Clientes!G:G,"No encontrado",0)</f>
        <v>AG06</v>
      </c>
      <c r="E262" s="9">
        <v>46230</v>
      </c>
      <c r="F262" s="10">
        <v>4.4748238342948353E-2</v>
      </c>
      <c r="G262" s="10">
        <f t="shared" si="16"/>
        <v>3.6546567098800775E-3</v>
      </c>
      <c r="H262" s="8">
        <v>6</v>
      </c>
      <c r="I262" s="11">
        <v>19493</v>
      </c>
      <c r="J262" s="9">
        <f t="shared" si="17"/>
        <v>46414</v>
      </c>
      <c r="K262" s="11">
        <f t="shared" ca="1" si="18"/>
        <v>19493</v>
      </c>
      <c r="L262" s="11">
        <f ca="1">Tabla2[[#This Row],[SaldoActual]]-Tabla2[[#This Row],[MontoDepositado]]</f>
        <v>0</v>
      </c>
      <c r="M262" s="7" t="str">
        <f t="shared" ca="1" si="19"/>
        <v>Vigente</v>
      </c>
    </row>
    <row r="263" spans="1:13" x14ac:dyDescent="0.25">
      <c r="A263" t="s">
        <v>1518</v>
      </c>
      <c r="B263" t="s">
        <v>210</v>
      </c>
      <c r="C263" s="8" t="s">
        <v>45</v>
      </c>
      <c r="D263" s="8" t="str">
        <f>_xlfn.XLOOKUP(Tabla2[[#This Row],[ClienteID]],Clientes!A:A,Clientes!G:G,"No encontrado",0)</f>
        <v>AG05</v>
      </c>
      <c r="E263" s="9">
        <v>46126</v>
      </c>
      <c r="F263" s="10">
        <v>1.2073715481312274E-2</v>
      </c>
      <c r="G263" s="10">
        <f t="shared" si="16"/>
        <v>1.0006177506707292E-3</v>
      </c>
      <c r="H263" s="8"/>
      <c r="I263" s="11">
        <v>47258</v>
      </c>
      <c r="J263" s="9" t="str">
        <f t="shared" si="17"/>
        <v/>
      </c>
      <c r="K263" s="11">
        <f t="shared" ca="1" si="18"/>
        <v>47400.003577545293</v>
      </c>
      <c r="L263" s="11">
        <f ca="1">Tabla2[[#This Row],[SaldoActual]]-Tabla2[[#This Row],[MontoDepositado]]</f>
        <v>142.0035775452925</v>
      </c>
      <c r="M263" s="7" t="str">
        <f t="shared" ca="1" si="19"/>
        <v>Vigente</v>
      </c>
    </row>
    <row r="264" spans="1:13" x14ac:dyDescent="0.25">
      <c r="A264" t="s">
        <v>1519</v>
      </c>
      <c r="B264" t="s">
        <v>678</v>
      </c>
      <c r="C264" s="8" t="s">
        <v>45</v>
      </c>
      <c r="D264" s="8" t="str">
        <f>_xlfn.XLOOKUP(Tabla2[[#This Row],[ClienteID]],Clientes!A:A,Clientes!G:G,"No encontrado",0)</f>
        <v>AG05</v>
      </c>
      <c r="E264" s="9">
        <v>46182</v>
      </c>
      <c r="F264" s="10">
        <v>1.0427817459765419E-2</v>
      </c>
      <c r="G264" s="10">
        <f t="shared" si="16"/>
        <v>8.6485900932009585E-4</v>
      </c>
      <c r="H264" s="8"/>
      <c r="I264" s="11">
        <v>41654</v>
      </c>
      <c r="J264" s="9" t="str">
        <f t="shared" si="17"/>
        <v/>
      </c>
      <c r="K264" s="11">
        <f t="shared" ca="1" si="18"/>
        <v>41726.080830753424</v>
      </c>
      <c r="L264" s="11">
        <f ca="1">Tabla2[[#This Row],[SaldoActual]]-Tabla2[[#This Row],[MontoDepositado]]</f>
        <v>72.08083075342438</v>
      </c>
      <c r="M264" s="7" t="str">
        <f t="shared" ca="1" si="19"/>
        <v>Vigente</v>
      </c>
    </row>
    <row r="265" spans="1:13" x14ac:dyDescent="0.25">
      <c r="A265" t="s">
        <v>1520</v>
      </c>
      <c r="B265" t="s">
        <v>582</v>
      </c>
      <c r="C265" s="8" t="s">
        <v>46</v>
      </c>
      <c r="D265" s="8" t="str">
        <f>_xlfn.XLOOKUP(Tabla2[[#This Row],[ClienteID]],Clientes!A:A,Clientes!G:G,"No encontrado",0)</f>
        <v>AG05</v>
      </c>
      <c r="E265" s="9">
        <v>45816</v>
      </c>
      <c r="F265" s="10">
        <v>3.7566981727768387E-2</v>
      </c>
      <c r="G265" s="10">
        <f t="shared" si="16"/>
        <v>3.0779381324845811E-3</v>
      </c>
      <c r="H265" s="8">
        <v>3</v>
      </c>
      <c r="I265" s="11">
        <v>18930</v>
      </c>
      <c r="J265" s="9">
        <f t="shared" si="17"/>
        <v>45908</v>
      </c>
      <c r="K265" s="11">
        <f t="shared" ca="1" si="18"/>
        <v>19105.334670134347</v>
      </c>
      <c r="L265" s="11">
        <f ca="1">Tabla2[[#This Row],[SaldoActual]]-Tabla2[[#This Row],[MontoDepositado]]</f>
        <v>175.33467013434711</v>
      </c>
      <c r="M265" s="7" t="str">
        <f t="shared" ca="1" si="19"/>
        <v>Vencido</v>
      </c>
    </row>
    <row r="266" spans="1:13" x14ac:dyDescent="0.25">
      <c r="A266" t="s">
        <v>1521</v>
      </c>
      <c r="B266" t="s">
        <v>108</v>
      </c>
      <c r="C266" s="8" t="s">
        <v>52</v>
      </c>
      <c r="D266" s="8" t="str">
        <f>_xlfn.XLOOKUP(Tabla2[[#This Row],[ClienteID]],Clientes!A:A,Clientes!G:G,"No encontrado",0)</f>
        <v>AG07</v>
      </c>
      <c r="E266" s="9">
        <v>46103</v>
      </c>
      <c r="F266" s="10">
        <v>3.5033472811509342E-2</v>
      </c>
      <c r="G266" s="10">
        <f t="shared" si="16"/>
        <v>2.8736014896870721E-3</v>
      </c>
      <c r="H266" s="8">
        <v>6</v>
      </c>
      <c r="I266" s="11">
        <v>16342</v>
      </c>
      <c r="J266" s="9">
        <f t="shared" si="17"/>
        <v>46287</v>
      </c>
      <c r="K266" s="11">
        <f t="shared" ca="1" si="18"/>
        <v>16530.652807185677</v>
      </c>
      <c r="L266" s="11">
        <f ca="1">Tabla2[[#This Row],[SaldoActual]]-Tabla2[[#This Row],[MontoDepositado]]</f>
        <v>188.65280718567737</v>
      </c>
      <c r="M266" s="7" t="str">
        <f t="shared" ca="1" si="19"/>
        <v>Vigente</v>
      </c>
    </row>
    <row r="267" spans="1:13" x14ac:dyDescent="0.25">
      <c r="A267" t="s">
        <v>1522</v>
      </c>
      <c r="B267" t="s">
        <v>669</v>
      </c>
      <c r="C267" s="8" t="s">
        <v>48</v>
      </c>
      <c r="D267" s="8" t="str">
        <f>_xlfn.XLOOKUP(Tabla2[[#This Row],[ClienteID]],Clientes!A:A,Clientes!G:G,"No encontrado",0)</f>
        <v>AG08</v>
      </c>
      <c r="E267" s="9">
        <v>45318</v>
      </c>
      <c r="F267" s="10">
        <v>4.1804348777699396E-2</v>
      </c>
      <c r="G267" s="10">
        <f t="shared" si="16"/>
        <v>3.4186771099278257E-3</v>
      </c>
      <c r="H267" s="8">
        <v>6</v>
      </c>
      <c r="I267" s="11">
        <v>39559</v>
      </c>
      <c r="J267" s="9">
        <f t="shared" si="17"/>
        <v>45500</v>
      </c>
      <c r="K267" s="11">
        <f t="shared" ca="1" si="18"/>
        <v>40377.40347980534</v>
      </c>
      <c r="L267" s="11">
        <f ca="1">Tabla2[[#This Row],[SaldoActual]]-Tabla2[[#This Row],[MontoDepositado]]</f>
        <v>818.40347980533988</v>
      </c>
      <c r="M267" s="7" t="str">
        <f t="shared" ca="1" si="19"/>
        <v>Vencido</v>
      </c>
    </row>
    <row r="268" spans="1:13" x14ac:dyDescent="0.25">
      <c r="A268" t="s">
        <v>1523</v>
      </c>
      <c r="B268" t="s">
        <v>269</v>
      </c>
      <c r="C268" s="8" t="s">
        <v>50</v>
      </c>
      <c r="D268" s="8" t="str">
        <f>_xlfn.XLOOKUP(Tabla2[[#This Row],[ClienteID]],Clientes!A:A,Clientes!G:G,"No encontrado",0)</f>
        <v>AG06</v>
      </c>
      <c r="E268" s="9">
        <v>45956</v>
      </c>
      <c r="F268" s="10">
        <v>6.2140156038300282E-2</v>
      </c>
      <c r="G268" s="10">
        <f t="shared" si="16"/>
        <v>5.0364645447151801E-3</v>
      </c>
      <c r="H268" s="8">
        <v>12</v>
      </c>
      <c r="I268" s="11">
        <v>2400</v>
      </c>
      <c r="J268" s="9">
        <f t="shared" si="17"/>
        <v>46321</v>
      </c>
      <c r="K268" s="11">
        <f t="shared" ca="1" si="18"/>
        <v>2511.0052053472677</v>
      </c>
      <c r="L268" s="11">
        <f ca="1">Tabla2[[#This Row],[SaldoActual]]-Tabla2[[#This Row],[MontoDepositado]]</f>
        <v>111.00520534726775</v>
      </c>
      <c r="M268" s="7" t="str">
        <f t="shared" ca="1" si="19"/>
        <v>Vigente</v>
      </c>
    </row>
    <row r="269" spans="1:13" x14ac:dyDescent="0.25">
      <c r="A269" t="s">
        <v>1524</v>
      </c>
      <c r="B269" t="s">
        <v>468</v>
      </c>
      <c r="C269" s="8" t="s">
        <v>52</v>
      </c>
      <c r="D269" s="8" t="str">
        <f>_xlfn.XLOOKUP(Tabla2[[#This Row],[ClienteID]],Clientes!A:A,Clientes!G:G,"No encontrado",0)</f>
        <v>AG06</v>
      </c>
      <c r="E269" s="9">
        <v>46029</v>
      </c>
      <c r="F269" s="10">
        <v>4.0781611338449715E-2</v>
      </c>
      <c r="G269" s="10">
        <f t="shared" si="16"/>
        <v>3.3365522938069159E-3</v>
      </c>
      <c r="H269" s="8">
        <v>6</v>
      </c>
      <c r="I269" s="11">
        <v>890</v>
      </c>
      <c r="J269" s="9">
        <f t="shared" si="17"/>
        <v>46210</v>
      </c>
      <c r="K269" s="11">
        <f t="shared" ca="1" si="18"/>
        <v>907.96647203582734</v>
      </c>
      <c r="L269" s="11">
        <f ca="1">Tabla2[[#This Row],[SaldoActual]]-Tabla2[[#This Row],[MontoDepositado]]</f>
        <v>17.966472035827337</v>
      </c>
      <c r="M269" s="7" t="str">
        <f t="shared" ca="1" si="19"/>
        <v>Vencido</v>
      </c>
    </row>
    <row r="270" spans="1:13" x14ac:dyDescent="0.25">
      <c r="A270" t="s">
        <v>1525</v>
      </c>
      <c r="B270" t="s">
        <v>720</v>
      </c>
      <c r="C270" s="8" t="s">
        <v>52</v>
      </c>
      <c r="D270" s="8" t="str">
        <f>_xlfn.XLOOKUP(Tabla2[[#This Row],[ClienteID]],Clientes!A:A,Clientes!G:G,"No encontrado",0)</f>
        <v>AG04</v>
      </c>
      <c r="E270" s="9">
        <v>46238</v>
      </c>
      <c r="F270" s="10">
        <v>3.9021053243222074E-2</v>
      </c>
      <c r="G270" s="10">
        <f t="shared" si="16"/>
        <v>3.1950077665512389E-3</v>
      </c>
      <c r="H270" s="8">
        <v>6</v>
      </c>
      <c r="I270" s="11">
        <v>49743</v>
      </c>
      <c r="J270" s="9">
        <f t="shared" si="17"/>
        <v>46422</v>
      </c>
      <c r="K270" s="11">
        <f t="shared" ca="1" si="18"/>
        <v>49743</v>
      </c>
      <c r="L270" s="11">
        <f ca="1">Tabla2[[#This Row],[SaldoActual]]-Tabla2[[#This Row],[MontoDepositado]]</f>
        <v>0</v>
      </c>
      <c r="M270" s="7" t="str">
        <f t="shared" ca="1" si="19"/>
        <v>Vigente</v>
      </c>
    </row>
    <row r="271" spans="1:13" x14ac:dyDescent="0.25">
      <c r="A271" t="s">
        <v>1526</v>
      </c>
      <c r="B271" t="s">
        <v>747</v>
      </c>
      <c r="C271" s="8" t="s">
        <v>52</v>
      </c>
      <c r="D271" s="8" t="str">
        <f>_xlfn.XLOOKUP(Tabla2[[#This Row],[ClienteID]],Clientes!A:A,Clientes!G:G,"No encontrado",0)</f>
        <v>AG05</v>
      </c>
      <c r="E271" s="9">
        <v>45618</v>
      </c>
      <c r="F271" s="10">
        <v>3.4428105712531042E-2</v>
      </c>
      <c r="G271" s="10">
        <f t="shared" si="16"/>
        <v>2.8247085870440891E-3</v>
      </c>
      <c r="H271" s="8">
        <v>6</v>
      </c>
      <c r="I271" s="11">
        <v>1120</v>
      </c>
      <c r="J271" s="9">
        <f t="shared" si="17"/>
        <v>45799</v>
      </c>
      <c r="K271" s="11">
        <f t="shared" ca="1" si="18"/>
        <v>1139.1165944738934</v>
      </c>
      <c r="L271" s="11">
        <f ca="1">Tabla2[[#This Row],[SaldoActual]]-Tabla2[[#This Row],[MontoDepositado]]</f>
        <v>19.116594473893429</v>
      </c>
      <c r="M271" s="7" t="str">
        <f t="shared" ca="1" si="19"/>
        <v>Vencido</v>
      </c>
    </row>
    <row r="272" spans="1:13" x14ac:dyDescent="0.25">
      <c r="A272" t="s">
        <v>1527</v>
      </c>
      <c r="B272" t="s">
        <v>344</v>
      </c>
      <c r="C272" s="8" t="s">
        <v>48</v>
      </c>
      <c r="D272" s="8" t="str">
        <f>_xlfn.XLOOKUP(Tabla2[[#This Row],[ClienteID]],Clientes!A:A,Clientes!G:G,"No encontrado",0)</f>
        <v>AG04</v>
      </c>
      <c r="E272" s="9">
        <v>46228</v>
      </c>
      <c r="F272" s="10">
        <v>4.3367047143377482E-2</v>
      </c>
      <c r="G272" s="10">
        <f t="shared" si="16"/>
        <v>3.5440176419774261E-3</v>
      </c>
      <c r="H272" s="8">
        <v>6</v>
      </c>
      <c r="I272" s="11">
        <v>27381</v>
      </c>
      <c r="J272" s="9">
        <f t="shared" si="17"/>
        <v>46412</v>
      </c>
      <c r="K272" s="11">
        <f t="shared" ca="1" si="18"/>
        <v>27381</v>
      </c>
      <c r="L272" s="11">
        <f ca="1">Tabla2[[#This Row],[SaldoActual]]-Tabla2[[#This Row],[MontoDepositado]]</f>
        <v>0</v>
      </c>
      <c r="M272" s="7" t="str">
        <f t="shared" ca="1" si="19"/>
        <v>Vigente</v>
      </c>
    </row>
    <row r="273" spans="1:13" x14ac:dyDescent="0.25">
      <c r="A273" t="s">
        <v>1528</v>
      </c>
      <c r="B273" t="s">
        <v>232</v>
      </c>
      <c r="C273" s="8" t="s">
        <v>45</v>
      </c>
      <c r="D273" s="8" t="str">
        <f>_xlfn.XLOOKUP(Tabla2[[#This Row],[ClienteID]],Clientes!A:A,Clientes!G:G,"No encontrado",0)</f>
        <v>AG03</v>
      </c>
      <c r="E273" s="9">
        <v>45447</v>
      </c>
      <c r="F273" s="10">
        <v>1.4297591798652809E-2</v>
      </c>
      <c r="G273" s="10">
        <f t="shared" si="16"/>
        <v>1.1837288168452531E-3</v>
      </c>
      <c r="H273" s="8"/>
      <c r="I273" s="11">
        <v>30139</v>
      </c>
      <c r="J273" s="9" t="str">
        <f t="shared" si="17"/>
        <v/>
      </c>
      <c r="K273" s="11">
        <f t="shared" ca="1" si="18"/>
        <v>31080.442472561201</v>
      </c>
      <c r="L273" s="11">
        <f ca="1">Tabla2[[#This Row],[SaldoActual]]-Tabla2[[#This Row],[MontoDepositado]]</f>
        <v>941.4424725612007</v>
      </c>
      <c r="M273" s="7" t="str">
        <f t="shared" ca="1" si="19"/>
        <v>Vigente</v>
      </c>
    </row>
    <row r="274" spans="1:13" x14ac:dyDescent="0.25">
      <c r="A274" t="s">
        <v>1529</v>
      </c>
      <c r="B274" t="s">
        <v>774</v>
      </c>
      <c r="C274" s="8" t="s">
        <v>46</v>
      </c>
      <c r="D274" s="8" t="str">
        <f>_xlfn.XLOOKUP(Tabla2[[#This Row],[ClienteID]],Clientes!A:A,Clientes!G:G,"No encontrado",0)</f>
        <v>AG03</v>
      </c>
      <c r="E274" s="9">
        <v>46200</v>
      </c>
      <c r="F274" s="10">
        <v>3.0526462048506585E-2</v>
      </c>
      <c r="G274" s="10">
        <f t="shared" si="16"/>
        <v>2.5089588377886773E-3</v>
      </c>
      <c r="H274" s="8">
        <v>3</v>
      </c>
      <c r="I274" s="11">
        <v>25135</v>
      </c>
      <c r="J274" s="9">
        <f t="shared" si="17"/>
        <v>46292</v>
      </c>
      <c r="K274" s="11">
        <f t="shared" ca="1" si="18"/>
        <v>25198.062680387819</v>
      </c>
      <c r="L274" s="11">
        <f ca="1">Tabla2[[#This Row],[SaldoActual]]-Tabla2[[#This Row],[MontoDepositado]]</f>
        <v>63.062680387818546</v>
      </c>
      <c r="M274" s="7" t="str">
        <f t="shared" ca="1" si="19"/>
        <v>Vigente</v>
      </c>
    </row>
    <row r="275" spans="1:13" x14ac:dyDescent="0.25">
      <c r="A275" t="s">
        <v>1530</v>
      </c>
      <c r="B275" t="s">
        <v>207</v>
      </c>
      <c r="C275" s="8" t="s">
        <v>48</v>
      </c>
      <c r="D275" s="8" t="str">
        <f>_xlfn.XLOOKUP(Tabla2[[#This Row],[ClienteID]],Clientes!A:A,Clientes!G:G,"No encontrado",0)</f>
        <v>AG05</v>
      </c>
      <c r="E275" s="9">
        <v>45506</v>
      </c>
      <c r="F275" s="10">
        <v>4.8136527933617029E-2</v>
      </c>
      <c r="G275" s="10">
        <f t="shared" si="16"/>
        <v>3.9255057065237242E-3</v>
      </c>
      <c r="H275" s="8">
        <v>6</v>
      </c>
      <c r="I275" s="11">
        <v>18831</v>
      </c>
      <c r="J275" s="9">
        <f t="shared" si="17"/>
        <v>45690</v>
      </c>
      <c r="K275" s="11">
        <f t="shared" ca="1" si="18"/>
        <v>19278.902708116457</v>
      </c>
      <c r="L275" s="11">
        <f ca="1">Tabla2[[#This Row],[SaldoActual]]-Tabla2[[#This Row],[MontoDepositado]]</f>
        <v>447.90270811645678</v>
      </c>
      <c r="M275" s="7" t="str">
        <f t="shared" ca="1" si="19"/>
        <v>Vencido</v>
      </c>
    </row>
    <row r="276" spans="1:13" x14ac:dyDescent="0.25">
      <c r="A276" t="s">
        <v>1531</v>
      </c>
      <c r="B276" t="s">
        <v>235</v>
      </c>
      <c r="C276" s="8" t="s">
        <v>48</v>
      </c>
      <c r="D276" s="8" t="str">
        <f>_xlfn.XLOOKUP(Tabla2[[#This Row],[ClienteID]],Clientes!A:A,Clientes!G:G,"No encontrado",0)</f>
        <v>AG03</v>
      </c>
      <c r="E276" s="9">
        <v>46206</v>
      </c>
      <c r="F276" s="10">
        <v>4.1733850675387339E-2</v>
      </c>
      <c r="G276" s="10">
        <f t="shared" si="16"/>
        <v>3.413018553315883E-3</v>
      </c>
      <c r="H276" s="8">
        <v>6</v>
      </c>
      <c r="I276" s="11">
        <v>36081</v>
      </c>
      <c r="J276" s="9">
        <f t="shared" si="17"/>
        <v>46390</v>
      </c>
      <c r="K276" s="11">
        <f t="shared" ca="1" si="18"/>
        <v>36204.145122422189</v>
      </c>
      <c r="L276" s="11">
        <f ca="1">Tabla2[[#This Row],[SaldoActual]]-Tabla2[[#This Row],[MontoDepositado]]</f>
        <v>123.14512242218916</v>
      </c>
      <c r="M276" s="7" t="str">
        <f t="shared" ca="1" si="19"/>
        <v>Vigente</v>
      </c>
    </row>
    <row r="277" spans="1:13" x14ac:dyDescent="0.25">
      <c r="A277" t="s">
        <v>1532</v>
      </c>
      <c r="B277" t="s">
        <v>353</v>
      </c>
      <c r="C277" s="8" t="s">
        <v>46</v>
      </c>
      <c r="D277" s="8" t="str">
        <f>_xlfn.XLOOKUP(Tabla2[[#This Row],[ClienteID]],Clientes!A:A,Clientes!G:G,"No encontrado",0)</f>
        <v>AG05</v>
      </c>
      <c r="E277" s="9">
        <v>46095</v>
      </c>
      <c r="F277" s="10">
        <v>3.7025433211244414E-2</v>
      </c>
      <c r="G277" s="10">
        <f t="shared" si="16"/>
        <v>3.0342987521037035E-3</v>
      </c>
      <c r="H277" s="8">
        <v>3</v>
      </c>
      <c r="I277" s="11">
        <v>41650</v>
      </c>
      <c r="J277" s="9">
        <f t="shared" si="17"/>
        <v>46187</v>
      </c>
      <c r="K277" s="11">
        <f t="shared" ca="1" si="18"/>
        <v>42030.287203404856</v>
      </c>
      <c r="L277" s="11">
        <f ca="1">Tabla2[[#This Row],[SaldoActual]]-Tabla2[[#This Row],[MontoDepositado]]</f>
        <v>380.28720340485597</v>
      </c>
      <c r="M277" s="7" t="str">
        <f t="shared" ca="1" si="19"/>
        <v>Vencido</v>
      </c>
    </row>
    <row r="278" spans="1:13" x14ac:dyDescent="0.25">
      <c r="A278" t="s">
        <v>1533</v>
      </c>
      <c r="B278" t="s">
        <v>189</v>
      </c>
      <c r="C278" s="8" t="s">
        <v>52</v>
      </c>
      <c r="D278" s="8" t="str">
        <f>_xlfn.XLOOKUP(Tabla2[[#This Row],[ClienteID]],Clientes!A:A,Clientes!G:G,"No encontrado",0)</f>
        <v>AG03</v>
      </c>
      <c r="E278" s="9">
        <v>46038</v>
      </c>
      <c r="F278" s="10">
        <v>3.5067901966161441E-2</v>
      </c>
      <c r="G278" s="10">
        <f t="shared" si="16"/>
        <v>2.8763813968775143E-3</v>
      </c>
      <c r="H278" s="8">
        <v>6</v>
      </c>
      <c r="I278" s="11">
        <v>5259</v>
      </c>
      <c r="J278" s="9">
        <f t="shared" si="17"/>
        <v>46219</v>
      </c>
      <c r="K278" s="11">
        <f t="shared" ca="1" si="18"/>
        <v>5350.416507635472</v>
      </c>
      <c r="L278" s="11">
        <f ca="1">Tabla2[[#This Row],[SaldoActual]]-Tabla2[[#This Row],[MontoDepositado]]</f>
        <v>91.416507635472044</v>
      </c>
      <c r="M278" s="7" t="str">
        <f t="shared" ca="1" si="19"/>
        <v>Vencido</v>
      </c>
    </row>
    <row r="279" spans="1:13" x14ac:dyDescent="0.25">
      <c r="A279" t="s">
        <v>1534</v>
      </c>
      <c r="B279" t="s">
        <v>777</v>
      </c>
      <c r="C279" s="8" t="s">
        <v>52</v>
      </c>
      <c r="D279" s="8" t="str">
        <f>_xlfn.XLOOKUP(Tabla2[[#This Row],[ClienteID]],Clientes!A:A,Clientes!G:G,"No encontrado",0)</f>
        <v>AG08</v>
      </c>
      <c r="E279" s="9">
        <v>45681</v>
      </c>
      <c r="F279" s="10">
        <v>3.5811912433108176E-2</v>
      </c>
      <c r="G279" s="10">
        <f t="shared" si="16"/>
        <v>2.9364342056295012E-3</v>
      </c>
      <c r="H279" s="8">
        <v>6</v>
      </c>
      <c r="I279" s="11">
        <v>36406</v>
      </c>
      <c r="J279" s="9">
        <f t="shared" si="17"/>
        <v>45862</v>
      </c>
      <c r="K279" s="11">
        <f t="shared" ca="1" si="18"/>
        <v>37052.150159335572</v>
      </c>
      <c r="L279" s="11">
        <f ca="1">Tabla2[[#This Row],[SaldoActual]]-Tabla2[[#This Row],[MontoDepositado]]</f>
        <v>646.15015933557152</v>
      </c>
      <c r="M279" s="7" t="str">
        <f t="shared" ca="1" si="19"/>
        <v>Vencido</v>
      </c>
    </row>
    <row r="280" spans="1:13" x14ac:dyDescent="0.25">
      <c r="A280" t="s">
        <v>1535</v>
      </c>
      <c r="B280" t="s">
        <v>567</v>
      </c>
      <c r="C280" s="8" t="s">
        <v>52</v>
      </c>
      <c r="D280" s="8" t="str">
        <f>_xlfn.XLOOKUP(Tabla2[[#This Row],[ClienteID]],Clientes!A:A,Clientes!G:G,"No encontrado",0)</f>
        <v>AG03</v>
      </c>
      <c r="E280" s="9">
        <v>46021</v>
      </c>
      <c r="F280" s="10">
        <v>4.3920927042375942E-2</v>
      </c>
      <c r="G280" s="10">
        <f t="shared" si="16"/>
        <v>3.588401803842789E-3</v>
      </c>
      <c r="H280" s="8">
        <v>6</v>
      </c>
      <c r="I280" s="11">
        <v>35263</v>
      </c>
      <c r="J280" s="9">
        <f t="shared" si="17"/>
        <v>46203</v>
      </c>
      <c r="K280" s="11">
        <f t="shared" ca="1" si="18"/>
        <v>36029.070580024163</v>
      </c>
      <c r="L280" s="11">
        <f ca="1">Tabla2[[#This Row],[SaldoActual]]-Tabla2[[#This Row],[MontoDepositado]]</f>
        <v>766.07058002416306</v>
      </c>
      <c r="M280" s="7" t="str">
        <f t="shared" ca="1" si="19"/>
        <v>Vencido</v>
      </c>
    </row>
    <row r="281" spans="1:13" x14ac:dyDescent="0.25">
      <c r="A281" t="s">
        <v>1536</v>
      </c>
      <c r="B281" t="s">
        <v>471</v>
      </c>
      <c r="C281" s="8" t="s">
        <v>52</v>
      </c>
      <c r="D281" s="8" t="str">
        <f>_xlfn.XLOOKUP(Tabla2[[#This Row],[ClienteID]],Clientes!A:A,Clientes!G:G,"No encontrado",0)</f>
        <v>AG03</v>
      </c>
      <c r="E281" s="9">
        <v>46227</v>
      </c>
      <c r="F281" s="10">
        <v>3.6725469013206037E-2</v>
      </c>
      <c r="G281" s="10">
        <f t="shared" si="16"/>
        <v>3.0101178701655851E-3</v>
      </c>
      <c r="H281" s="8">
        <v>6</v>
      </c>
      <c r="I281" s="11">
        <v>25878</v>
      </c>
      <c r="J281" s="9">
        <f t="shared" si="17"/>
        <v>46411</v>
      </c>
      <c r="K281" s="11">
        <f t="shared" ca="1" si="18"/>
        <v>25878</v>
      </c>
      <c r="L281" s="11">
        <f ca="1">Tabla2[[#This Row],[SaldoActual]]-Tabla2[[#This Row],[MontoDepositado]]</f>
        <v>0</v>
      </c>
      <c r="M281" s="7" t="str">
        <f t="shared" ca="1" si="19"/>
        <v>Vigente</v>
      </c>
    </row>
    <row r="282" spans="1:13" x14ac:dyDescent="0.25">
      <c r="A282" t="s">
        <v>1537</v>
      </c>
      <c r="B282" t="s">
        <v>60</v>
      </c>
      <c r="C282" s="8" t="s">
        <v>45</v>
      </c>
      <c r="D282" s="8" t="str">
        <f>_xlfn.XLOOKUP(Tabla2[[#This Row],[ClienteID]],Clientes!A:A,Clientes!G:G,"No encontrado",0)</f>
        <v>AG07</v>
      </c>
      <c r="E282" s="9">
        <v>46097</v>
      </c>
      <c r="F282" s="10">
        <v>8.6270336063211956E-3</v>
      </c>
      <c r="G282" s="10">
        <f t="shared" si="16"/>
        <v>7.1609238856518154E-4</v>
      </c>
      <c r="H282" s="8"/>
      <c r="I282" s="11">
        <v>27972</v>
      </c>
      <c r="J282" s="9" t="str">
        <f t="shared" si="17"/>
        <v/>
      </c>
      <c r="K282" s="11">
        <f t="shared" ca="1" si="18"/>
        <v>28052.208248552306</v>
      </c>
      <c r="L282" s="11">
        <f ca="1">Tabla2[[#This Row],[SaldoActual]]-Tabla2[[#This Row],[MontoDepositado]]</f>
        <v>80.208248552306031</v>
      </c>
      <c r="M282" s="7" t="str">
        <f t="shared" ca="1" si="19"/>
        <v>Vigente</v>
      </c>
    </row>
    <row r="283" spans="1:13" x14ac:dyDescent="0.25">
      <c r="A283" t="s">
        <v>1538</v>
      </c>
      <c r="B283" t="s">
        <v>549</v>
      </c>
      <c r="C283" s="8" t="s">
        <v>50</v>
      </c>
      <c r="D283" s="8" t="str">
        <f>_xlfn.XLOOKUP(Tabla2[[#This Row],[ClienteID]],Clientes!A:A,Clientes!G:G,"No encontrado",0)</f>
        <v>AG05</v>
      </c>
      <c r="E283" s="9">
        <v>45492</v>
      </c>
      <c r="F283" s="10">
        <v>6.0785964122254059E-2</v>
      </c>
      <c r="G283" s="10">
        <f t="shared" si="16"/>
        <v>4.9296198707604599E-3</v>
      </c>
      <c r="H283" s="8">
        <v>12</v>
      </c>
      <c r="I283" s="11">
        <v>25500</v>
      </c>
      <c r="J283" s="9">
        <f t="shared" si="17"/>
        <v>45857</v>
      </c>
      <c r="K283" s="11">
        <f t="shared" ca="1" si="18"/>
        <v>27050.042085117468</v>
      </c>
      <c r="L283" s="11">
        <f ca="1">Tabla2[[#This Row],[SaldoActual]]-Tabla2[[#This Row],[MontoDepositado]]</f>
        <v>1550.0420851174676</v>
      </c>
      <c r="M283" s="7" t="str">
        <f t="shared" ca="1" si="19"/>
        <v>Vencido</v>
      </c>
    </row>
    <row r="284" spans="1:13" x14ac:dyDescent="0.25">
      <c r="A284" t="s">
        <v>1539</v>
      </c>
      <c r="B284" t="s">
        <v>141</v>
      </c>
      <c r="C284" s="8" t="s">
        <v>46</v>
      </c>
      <c r="D284" s="8" t="str">
        <f>_xlfn.XLOOKUP(Tabla2[[#This Row],[ClienteID]],Clientes!A:A,Clientes!G:G,"No encontrado",0)</f>
        <v>AG08</v>
      </c>
      <c r="E284" s="9">
        <v>45831</v>
      </c>
      <c r="F284" s="10">
        <v>3.1993754468034E-2</v>
      </c>
      <c r="G284" s="10">
        <f t="shared" si="16"/>
        <v>2.6278313091803174E-3</v>
      </c>
      <c r="H284" s="8">
        <v>3</v>
      </c>
      <c r="I284" s="11">
        <v>37642</v>
      </c>
      <c r="J284" s="9">
        <f t="shared" si="17"/>
        <v>45923</v>
      </c>
      <c r="K284" s="11">
        <f t="shared" ca="1" si="18"/>
        <v>37939.530971688589</v>
      </c>
      <c r="L284" s="11">
        <f ca="1">Tabla2[[#This Row],[SaldoActual]]-Tabla2[[#This Row],[MontoDepositado]]</f>
        <v>297.53097168858949</v>
      </c>
      <c r="M284" s="7" t="str">
        <f t="shared" ca="1" si="19"/>
        <v>Vencido</v>
      </c>
    </row>
    <row r="285" spans="1:13" x14ac:dyDescent="0.25">
      <c r="A285" t="s">
        <v>1540</v>
      </c>
      <c r="B285" t="s">
        <v>618</v>
      </c>
      <c r="C285" s="8" t="s">
        <v>46</v>
      </c>
      <c r="D285" s="8" t="str">
        <f>_xlfn.XLOOKUP(Tabla2[[#This Row],[ClienteID]],Clientes!A:A,Clientes!G:G,"No encontrado",0)</f>
        <v>AG01</v>
      </c>
      <c r="E285" s="9">
        <v>46121</v>
      </c>
      <c r="F285" s="10">
        <v>3.0996322864458394E-2</v>
      </c>
      <c r="G285" s="10">
        <f t="shared" si="16"/>
        <v>2.5470414173025535E-3</v>
      </c>
      <c r="H285" s="8">
        <v>3</v>
      </c>
      <c r="I285" s="11">
        <v>20247</v>
      </c>
      <c r="J285" s="9">
        <f t="shared" si="17"/>
        <v>46212</v>
      </c>
      <c r="K285" s="11">
        <f t="shared" ca="1" si="18"/>
        <v>20402.104229661378</v>
      </c>
      <c r="L285" s="11">
        <f ca="1">Tabla2[[#This Row],[SaldoActual]]-Tabla2[[#This Row],[MontoDepositado]]</f>
        <v>155.10422966137776</v>
      </c>
      <c r="M285" s="7" t="str">
        <f t="shared" ca="1" si="19"/>
        <v>Vencido</v>
      </c>
    </row>
    <row r="286" spans="1:13" x14ac:dyDescent="0.25">
      <c r="A286" t="s">
        <v>1541</v>
      </c>
      <c r="B286" t="s">
        <v>834</v>
      </c>
      <c r="C286" s="8" t="s">
        <v>50</v>
      </c>
      <c r="D286" s="8" t="str">
        <f>_xlfn.XLOOKUP(Tabla2[[#This Row],[ClienteID]],Clientes!A:A,Clientes!G:G,"No encontrado",0)</f>
        <v>AG04</v>
      </c>
      <c r="E286" s="9">
        <v>45665</v>
      </c>
      <c r="F286" s="10">
        <v>6.5550462216980562E-2</v>
      </c>
      <c r="G286" s="10">
        <f t="shared" si="16"/>
        <v>5.3049828163802548E-3</v>
      </c>
      <c r="H286" s="8">
        <v>12</v>
      </c>
      <c r="I286" s="11">
        <v>30200</v>
      </c>
      <c r="J286" s="9">
        <f t="shared" si="17"/>
        <v>46030</v>
      </c>
      <c r="K286" s="11">
        <f t="shared" ca="1" si="18"/>
        <v>32179.623958952776</v>
      </c>
      <c r="L286" s="11">
        <f ca="1">Tabla2[[#This Row],[SaldoActual]]-Tabla2[[#This Row],[MontoDepositado]]</f>
        <v>1979.6239589527759</v>
      </c>
      <c r="M286" s="7" t="str">
        <f t="shared" ca="1" si="19"/>
        <v>Vencido</v>
      </c>
    </row>
    <row r="287" spans="1:13" x14ac:dyDescent="0.25">
      <c r="A287" t="s">
        <v>1542</v>
      </c>
      <c r="B287" t="s">
        <v>579</v>
      </c>
      <c r="C287" s="8" t="s">
        <v>46</v>
      </c>
      <c r="D287" s="8" t="str">
        <f>_xlfn.XLOOKUP(Tabla2[[#This Row],[ClienteID]],Clientes!A:A,Clientes!G:G,"No encontrado",0)</f>
        <v>AG07</v>
      </c>
      <c r="E287" s="9">
        <v>46208</v>
      </c>
      <c r="F287" s="10">
        <v>3.8623540249353543E-2</v>
      </c>
      <c r="G287" s="10">
        <f t="shared" si="16"/>
        <v>3.1630182804014417E-3</v>
      </c>
      <c r="H287" s="8">
        <v>3</v>
      </c>
      <c r="I287" s="11">
        <v>18147</v>
      </c>
      <c r="J287" s="9">
        <f t="shared" si="17"/>
        <v>46300</v>
      </c>
      <c r="K287" s="11">
        <f t="shared" ca="1" si="18"/>
        <v>18204.399292734444</v>
      </c>
      <c r="L287" s="11">
        <f ca="1">Tabla2[[#This Row],[SaldoActual]]-Tabla2[[#This Row],[MontoDepositado]]</f>
        <v>57.399292734444316</v>
      </c>
      <c r="M287" s="7" t="str">
        <f t="shared" ca="1" si="19"/>
        <v>Vigente</v>
      </c>
    </row>
    <row r="288" spans="1:13" x14ac:dyDescent="0.25">
      <c r="A288" t="s">
        <v>1543</v>
      </c>
      <c r="B288" t="s">
        <v>183</v>
      </c>
      <c r="C288" s="8" t="s">
        <v>48</v>
      </c>
      <c r="D288" s="8" t="str">
        <f>_xlfn.XLOOKUP(Tabla2[[#This Row],[ClienteID]],Clientes!A:A,Clientes!G:G,"No encontrado",0)</f>
        <v>AG04</v>
      </c>
      <c r="E288" s="9">
        <v>44986</v>
      </c>
      <c r="F288" s="10">
        <v>4.9544946388635554E-2</v>
      </c>
      <c r="G288" s="10">
        <f t="shared" si="16"/>
        <v>4.037854074215641E-3</v>
      </c>
      <c r="H288" s="8">
        <v>6</v>
      </c>
      <c r="I288" s="11">
        <v>49076</v>
      </c>
      <c r="J288" s="9">
        <f t="shared" si="17"/>
        <v>45170</v>
      </c>
      <c r="K288" s="11">
        <f t="shared" ca="1" si="18"/>
        <v>50277.037394932377</v>
      </c>
      <c r="L288" s="11">
        <f ca="1">Tabla2[[#This Row],[SaldoActual]]-Tabla2[[#This Row],[MontoDepositado]]</f>
        <v>1201.0373949323766</v>
      </c>
      <c r="M288" s="7" t="str">
        <f t="shared" ca="1" si="19"/>
        <v>Vencido</v>
      </c>
    </row>
    <row r="289" spans="1:13" x14ac:dyDescent="0.25">
      <c r="A289" t="s">
        <v>1544</v>
      </c>
      <c r="B289" t="s">
        <v>60</v>
      </c>
      <c r="C289" s="8" t="s">
        <v>52</v>
      </c>
      <c r="D289" s="8" t="str">
        <f>_xlfn.XLOOKUP(Tabla2[[#This Row],[ClienteID]],Clientes!A:A,Clientes!G:G,"No encontrado",0)</f>
        <v>AG07</v>
      </c>
      <c r="E289" s="9">
        <v>46197</v>
      </c>
      <c r="F289" s="10">
        <v>4.1369718576805721E-2</v>
      </c>
      <c r="G289" s="10">
        <f t="shared" si="16"/>
        <v>3.3837857637593061E-3</v>
      </c>
      <c r="H289" s="8">
        <v>6</v>
      </c>
      <c r="I289" s="11">
        <v>24629</v>
      </c>
      <c r="J289" s="9">
        <f t="shared" si="17"/>
        <v>46380</v>
      </c>
      <c r="K289" s="11">
        <f t="shared" ca="1" si="18"/>
        <v>24712.339259575627</v>
      </c>
      <c r="L289" s="11">
        <f ca="1">Tabla2[[#This Row],[SaldoActual]]-Tabla2[[#This Row],[MontoDepositado]]</f>
        <v>83.339259575626784</v>
      </c>
      <c r="M289" s="7" t="str">
        <f t="shared" ca="1" si="19"/>
        <v>Vigente</v>
      </c>
    </row>
    <row r="290" spans="1:13" x14ac:dyDescent="0.25">
      <c r="A290" t="s">
        <v>1545</v>
      </c>
      <c r="B290" t="s">
        <v>802</v>
      </c>
      <c r="C290" s="8" t="s">
        <v>46</v>
      </c>
      <c r="D290" s="8" t="str">
        <f>_xlfn.XLOOKUP(Tabla2[[#This Row],[ClienteID]],Clientes!A:A,Clientes!G:G,"No encontrado",0)</f>
        <v>AG06</v>
      </c>
      <c r="E290" s="9">
        <v>45974</v>
      </c>
      <c r="F290" s="10">
        <v>3.2828346959678095E-2</v>
      </c>
      <c r="G290" s="10">
        <f t="shared" si="16"/>
        <v>2.6953765867283597E-3</v>
      </c>
      <c r="H290" s="8">
        <v>3</v>
      </c>
      <c r="I290" s="11">
        <v>395</v>
      </c>
      <c r="J290" s="9">
        <f t="shared" si="17"/>
        <v>46066</v>
      </c>
      <c r="K290" s="11">
        <f t="shared" ca="1" si="18"/>
        <v>398.20263808029534</v>
      </c>
      <c r="L290" s="11">
        <f ca="1">Tabla2[[#This Row],[SaldoActual]]-Tabla2[[#This Row],[MontoDepositado]]</f>
        <v>3.202638080295344</v>
      </c>
      <c r="M290" s="7" t="str">
        <f t="shared" ca="1" si="19"/>
        <v>Vencido</v>
      </c>
    </row>
    <row r="291" spans="1:13" x14ac:dyDescent="0.25">
      <c r="A291" t="s">
        <v>1546</v>
      </c>
      <c r="B291" t="s">
        <v>522</v>
      </c>
      <c r="C291" s="8" t="s">
        <v>52</v>
      </c>
      <c r="D291" s="8" t="str">
        <f>_xlfn.XLOOKUP(Tabla2[[#This Row],[ClienteID]],Clientes!A:A,Clientes!G:G,"No encontrado",0)</f>
        <v>AG04</v>
      </c>
      <c r="E291" s="9">
        <v>45162</v>
      </c>
      <c r="F291" s="10">
        <v>3.2746617234281697E-2</v>
      </c>
      <c r="G291" s="10">
        <f t="shared" si="16"/>
        <v>2.6887642431892012E-3</v>
      </c>
      <c r="H291" s="8">
        <v>6</v>
      </c>
      <c r="I291" s="11">
        <v>26545</v>
      </c>
      <c r="J291" s="9">
        <f t="shared" si="17"/>
        <v>45346</v>
      </c>
      <c r="K291" s="11">
        <f t="shared" ca="1" si="18"/>
        <v>26976.128409146819</v>
      </c>
      <c r="L291" s="11">
        <f ca="1">Tabla2[[#This Row],[SaldoActual]]-Tabla2[[#This Row],[MontoDepositado]]</f>
        <v>431.12840914681874</v>
      </c>
      <c r="M291" s="7" t="str">
        <f t="shared" ca="1" si="19"/>
        <v>Vencido</v>
      </c>
    </row>
    <row r="292" spans="1:13" x14ac:dyDescent="0.25">
      <c r="A292" t="s">
        <v>1547</v>
      </c>
      <c r="B292" t="s">
        <v>130</v>
      </c>
      <c r="C292" s="8" t="s">
        <v>50</v>
      </c>
      <c r="D292" s="8" t="str">
        <f>_xlfn.XLOOKUP(Tabla2[[#This Row],[ClienteID]],Clientes!A:A,Clientes!G:G,"No encontrado",0)</f>
        <v>AG04</v>
      </c>
      <c r="E292" s="9">
        <v>45970</v>
      </c>
      <c r="F292" s="10">
        <v>6.739217978334236E-2</v>
      </c>
      <c r="G292" s="10">
        <f t="shared" si="16"/>
        <v>5.4496672459913853E-3</v>
      </c>
      <c r="H292" s="8">
        <v>12</v>
      </c>
      <c r="I292" s="11">
        <v>21718</v>
      </c>
      <c r="J292" s="9">
        <f t="shared" si="17"/>
        <v>46335</v>
      </c>
      <c r="K292" s="11">
        <f t="shared" ca="1" si="18"/>
        <v>22806.720553623472</v>
      </c>
      <c r="L292" s="11">
        <f ca="1">Tabla2[[#This Row],[SaldoActual]]-Tabla2[[#This Row],[MontoDepositado]]</f>
        <v>1088.7205536234724</v>
      </c>
      <c r="M292" s="7" t="str">
        <f t="shared" ca="1" si="19"/>
        <v>Vigente</v>
      </c>
    </row>
    <row r="293" spans="1:13" x14ac:dyDescent="0.25">
      <c r="A293" t="s">
        <v>1548</v>
      </c>
      <c r="B293" t="s">
        <v>183</v>
      </c>
      <c r="C293" s="8" t="s">
        <v>50</v>
      </c>
      <c r="D293" s="8" t="str">
        <f>_xlfn.XLOOKUP(Tabla2[[#This Row],[ClienteID]],Clientes!A:A,Clientes!G:G,"No encontrado",0)</f>
        <v>AG04</v>
      </c>
      <c r="E293" s="9">
        <v>45246</v>
      </c>
      <c r="F293" s="10">
        <v>6.2850341248943148E-2</v>
      </c>
      <c r="G293" s="10">
        <f t="shared" si="16"/>
        <v>5.092447692230273E-3</v>
      </c>
      <c r="H293" s="8">
        <v>12</v>
      </c>
      <c r="I293" s="11">
        <v>16996</v>
      </c>
      <c r="J293" s="9">
        <f t="shared" si="17"/>
        <v>45612</v>
      </c>
      <c r="K293" s="11">
        <f t="shared" ca="1" si="18"/>
        <v>18064.204399867031</v>
      </c>
      <c r="L293" s="11">
        <f ca="1">Tabla2[[#This Row],[SaldoActual]]-Tabla2[[#This Row],[MontoDepositado]]</f>
        <v>1068.2043998670306</v>
      </c>
      <c r="M293" s="7" t="str">
        <f t="shared" ca="1" si="19"/>
        <v>Vencido</v>
      </c>
    </row>
    <row r="294" spans="1:13" x14ac:dyDescent="0.25">
      <c r="A294" t="s">
        <v>1549</v>
      </c>
      <c r="B294" t="s">
        <v>123</v>
      </c>
      <c r="C294" s="8" t="s">
        <v>48</v>
      </c>
      <c r="D294" s="8" t="str">
        <f>_xlfn.XLOOKUP(Tabla2[[#This Row],[ClienteID]],Clientes!A:A,Clientes!G:G,"No encontrado",0)</f>
        <v>AG03</v>
      </c>
      <c r="E294" s="9">
        <v>46094</v>
      </c>
      <c r="F294" s="10">
        <v>4.4658920190372695E-2</v>
      </c>
      <c r="G294" s="10">
        <f t="shared" si="16"/>
        <v>3.647506016432045E-3</v>
      </c>
      <c r="H294" s="8">
        <v>6</v>
      </c>
      <c r="I294" s="11">
        <v>38677</v>
      </c>
      <c r="J294" s="9">
        <f t="shared" si="17"/>
        <v>46278</v>
      </c>
      <c r="K294" s="11">
        <f t="shared" ca="1" si="18"/>
        <v>39244.393297729999</v>
      </c>
      <c r="L294" s="11">
        <f ca="1">Tabla2[[#This Row],[SaldoActual]]-Tabla2[[#This Row],[MontoDepositado]]</f>
        <v>567.39329772999918</v>
      </c>
      <c r="M294" s="7" t="str">
        <f t="shared" ca="1" si="19"/>
        <v>Vigente</v>
      </c>
    </row>
    <row r="295" spans="1:13" x14ac:dyDescent="0.25">
      <c r="A295" t="s">
        <v>1550</v>
      </c>
      <c r="B295" t="s">
        <v>669</v>
      </c>
      <c r="C295" s="8" t="s">
        <v>50</v>
      </c>
      <c r="D295" s="8" t="str">
        <f>_xlfn.XLOOKUP(Tabla2[[#This Row],[ClienteID]],Clientes!A:A,Clientes!G:G,"No encontrado",0)</f>
        <v>AG08</v>
      </c>
      <c r="E295" s="9">
        <v>46240</v>
      </c>
      <c r="F295" s="10">
        <v>5.5876516639475543E-2</v>
      </c>
      <c r="G295" s="10">
        <f t="shared" si="16"/>
        <v>4.541217169156786E-3</v>
      </c>
      <c r="H295" s="8">
        <v>12</v>
      </c>
      <c r="I295" s="11">
        <v>39849</v>
      </c>
      <c r="J295" s="9">
        <f t="shared" si="17"/>
        <v>46605</v>
      </c>
      <c r="K295" s="11">
        <f t="shared" ca="1" si="18"/>
        <v>39849</v>
      </c>
      <c r="L295" s="11">
        <f ca="1">Tabla2[[#This Row],[SaldoActual]]-Tabla2[[#This Row],[MontoDepositado]]</f>
        <v>0</v>
      </c>
      <c r="M295" s="7" t="str">
        <f t="shared" ca="1" si="19"/>
        <v>Vigente</v>
      </c>
    </row>
    <row r="296" spans="1:13" x14ac:dyDescent="0.25">
      <c r="A296" t="s">
        <v>1551</v>
      </c>
      <c r="B296" t="s">
        <v>344</v>
      </c>
      <c r="C296" s="8" t="s">
        <v>50</v>
      </c>
      <c r="D296" s="8" t="str">
        <f>_xlfn.XLOOKUP(Tabla2[[#This Row],[ClienteID]],Clientes!A:A,Clientes!G:G,"No encontrado",0)</f>
        <v>AG04</v>
      </c>
      <c r="E296" s="9">
        <v>46206</v>
      </c>
      <c r="F296" s="10">
        <v>6.6923719403417722E-2</v>
      </c>
      <c r="G296" s="10">
        <f t="shared" si="16"/>
        <v>5.4128869419960424E-3</v>
      </c>
      <c r="H296" s="8">
        <v>12</v>
      </c>
      <c r="I296" s="11">
        <v>3003</v>
      </c>
      <c r="J296" s="9">
        <f t="shared" si="17"/>
        <v>46571</v>
      </c>
      <c r="K296" s="11">
        <f t="shared" ca="1" si="18"/>
        <v>3019.2548994868143</v>
      </c>
      <c r="L296" s="11">
        <f ca="1">Tabla2[[#This Row],[SaldoActual]]-Tabla2[[#This Row],[MontoDepositado]]</f>
        <v>16.254899486814338</v>
      </c>
      <c r="M296" s="7" t="str">
        <f t="shared" ca="1" si="19"/>
        <v>Vigente</v>
      </c>
    </row>
    <row r="297" spans="1:13" x14ac:dyDescent="0.25">
      <c r="A297" t="s">
        <v>1552</v>
      </c>
      <c r="B297" t="s">
        <v>204</v>
      </c>
      <c r="C297" s="8" t="s">
        <v>45</v>
      </c>
      <c r="D297" s="8" t="str">
        <f>_xlfn.XLOOKUP(Tabla2[[#This Row],[ClienteID]],Clientes!A:A,Clientes!G:G,"No encontrado",0)</f>
        <v>AG02</v>
      </c>
      <c r="E297" s="9">
        <v>45951</v>
      </c>
      <c r="F297" s="10">
        <v>6.9407307245285188E-3</v>
      </c>
      <c r="G297" s="10">
        <f t="shared" si="16"/>
        <v>5.7656237570302693E-4</v>
      </c>
      <c r="H297" s="8"/>
      <c r="I297" s="11">
        <v>34769</v>
      </c>
      <c r="J297" s="9" t="str">
        <f t="shared" si="17"/>
        <v/>
      </c>
      <c r="K297" s="11">
        <f t="shared" ca="1" si="18"/>
        <v>34949.835125441394</v>
      </c>
      <c r="L297" s="11">
        <f ca="1">Tabla2[[#This Row],[SaldoActual]]-Tabla2[[#This Row],[MontoDepositado]]</f>
        <v>180.83512544139376</v>
      </c>
      <c r="M297" s="7" t="str">
        <f t="shared" ca="1" si="19"/>
        <v>Vigente</v>
      </c>
    </row>
    <row r="298" spans="1:13" x14ac:dyDescent="0.25">
      <c r="A298" t="s">
        <v>1553</v>
      </c>
      <c r="B298" t="s">
        <v>799</v>
      </c>
      <c r="C298" s="8" t="s">
        <v>48</v>
      </c>
      <c r="D298" s="8" t="str">
        <f>_xlfn.XLOOKUP(Tabla2[[#This Row],[ClienteID]],Clientes!A:A,Clientes!G:G,"No encontrado",0)</f>
        <v>AG04</v>
      </c>
      <c r="E298" s="9">
        <v>45915</v>
      </c>
      <c r="F298" s="10">
        <v>4.9660720438303385E-2</v>
      </c>
      <c r="G298" s="10">
        <f t="shared" si="16"/>
        <v>4.0470831256755879E-3</v>
      </c>
      <c r="H298" s="8">
        <v>6</v>
      </c>
      <c r="I298" s="11">
        <v>43919</v>
      </c>
      <c r="J298" s="9">
        <f t="shared" si="17"/>
        <v>46096</v>
      </c>
      <c r="K298" s="11">
        <f t="shared" ca="1" si="18"/>
        <v>44996.311626368428</v>
      </c>
      <c r="L298" s="11">
        <f ca="1">Tabla2[[#This Row],[SaldoActual]]-Tabla2[[#This Row],[MontoDepositado]]</f>
        <v>1077.3116263684278</v>
      </c>
      <c r="M298" s="7" t="str">
        <f t="shared" ca="1" si="19"/>
        <v>Vencido</v>
      </c>
    </row>
    <row r="299" spans="1:13" x14ac:dyDescent="0.25">
      <c r="A299" t="s">
        <v>1554</v>
      </c>
      <c r="B299" t="s">
        <v>297</v>
      </c>
      <c r="C299" s="8" t="s">
        <v>48</v>
      </c>
      <c r="D299" s="8" t="str">
        <f>_xlfn.XLOOKUP(Tabla2[[#This Row],[ClienteID]],Clientes!A:A,Clientes!G:G,"No encontrado",0)</f>
        <v>AG03</v>
      </c>
      <c r="E299" s="9">
        <v>45398</v>
      </c>
      <c r="F299" s="10">
        <v>4.1562144773097699E-2</v>
      </c>
      <c r="G299" s="10">
        <f t="shared" si="16"/>
        <v>3.3992350459051135E-3</v>
      </c>
      <c r="H299" s="8">
        <v>6</v>
      </c>
      <c r="I299" s="11">
        <v>17080</v>
      </c>
      <c r="J299" s="9">
        <f t="shared" si="17"/>
        <v>45581</v>
      </c>
      <c r="K299" s="11">
        <f t="shared" ca="1" si="18"/>
        <v>17431.32739842077</v>
      </c>
      <c r="L299" s="11">
        <f ca="1">Tabla2[[#This Row],[SaldoActual]]-Tabla2[[#This Row],[MontoDepositado]]</f>
        <v>351.3273984207699</v>
      </c>
      <c r="M299" s="7" t="str">
        <f t="shared" ca="1" si="19"/>
        <v>Vencido</v>
      </c>
    </row>
    <row r="300" spans="1:13" x14ac:dyDescent="0.25">
      <c r="A300" t="s">
        <v>1555</v>
      </c>
      <c r="B300" t="s">
        <v>531</v>
      </c>
      <c r="C300" s="8" t="s">
        <v>45</v>
      </c>
      <c r="D300" s="8" t="str">
        <f>_xlfn.XLOOKUP(Tabla2[[#This Row],[ClienteID]],Clientes!A:A,Clientes!G:G,"No encontrado",0)</f>
        <v>AG03</v>
      </c>
      <c r="E300" s="9">
        <v>46165</v>
      </c>
      <c r="F300" s="10">
        <v>1.2836596519485575E-2</v>
      </c>
      <c r="G300" s="10">
        <f t="shared" si="16"/>
        <v>1.0634739010328964E-3</v>
      </c>
      <c r="H300" s="8"/>
      <c r="I300" s="11">
        <v>8498</v>
      </c>
      <c r="J300" s="9" t="str">
        <f t="shared" si="17"/>
        <v/>
      </c>
      <c r="K300" s="11">
        <f t="shared" ca="1" si="18"/>
        <v>8516.0844134622766</v>
      </c>
      <c r="L300" s="11">
        <f ca="1">Tabla2[[#This Row],[SaldoActual]]-Tabla2[[#This Row],[MontoDepositado]]</f>
        <v>18.084413462276643</v>
      </c>
      <c r="M300" s="7" t="str">
        <f t="shared" ca="1" si="19"/>
        <v>Vigente</v>
      </c>
    </row>
    <row r="301" spans="1:13" x14ac:dyDescent="0.25">
      <c r="A301" t="s">
        <v>1556</v>
      </c>
      <c r="B301" t="s">
        <v>362</v>
      </c>
      <c r="C301" s="8" t="s">
        <v>46</v>
      </c>
      <c r="D301" s="8" t="str">
        <f>_xlfn.XLOOKUP(Tabla2[[#This Row],[ClienteID]],Clientes!A:A,Clientes!G:G,"No encontrado",0)</f>
        <v>AG04</v>
      </c>
      <c r="E301" s="9">
        <v>46066</v>
      </c>
      <c r="F301" s="10">
        <v>3.5435305370187659E-2</v>
      </c>
      <c r="G301" s="10">
        <f t="shared" si="16"/>
        <v>2.9060413081698488E-3</v>
      </c>
      <c r="H301" s="8">
        <v>3</v>
      </c>
      <c r="I301" s="11">
        <v>3474</v>
      </c>
      <c r="J301" s="9">
        <f t="shared" si="17"/>
        <v>46155</v>
      </c>
      <c r="K301" s="11">
        <f t="shared" ca="1" si="18"/>
        <v>3504.3748623547067</v>
      </c>
      <c r="L301" s="11">
        <f ca="1">Tabla2[[#This Row],[SaldoActual]]-Tabla2[[#This Row],[MontoDepositado]]</f>
        <v>30.374862354706693</v>
      </c>
      <c r="M301" s="7" t="str">
        <f t="shared" ca="1" si="19"/>
        <v>Vencido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F443-C20C-4A61-AC13-8D6B833079B1}">
  <sheetPr codeName="Hoja10"/>
  <dimension ref="B2:K11"/>
  <sheetViews>
    <sheetView workbookViewId="0">
      <selection activeCell="J20" sqref="J20"/>
    </sheetView>
  </sheetViews>
  <sheetFormatPr baseColWidth="10" defaultRowHeight="15" x14ac:dyDescent="0.25"/>
  <cols>
    <col min="1" max="1" width="11.42578125" style="54"/>
    <col min="2" max="2" width="17.5703125" style="54" bestFit="1" customWidth="1"/>
    <col min="3" max="3" width="25.28515625" style="54" bestFit="1" customWidth="1"/>
    <col min="4" max="4" width="10.140625" style="54" customWidth="1"/>
    <col min="5" max="5" width="7.7109375" style="54" customWidth="1"/>
    <col min="6" max="6" width="17.5703125" style="54" bestFit="1" customWidth="1"/>
    <col min="7" max="7" width="25.28515625" style="54" bestFit="1" customWidth="1"/>
    <col min="8" max="8" width="8.140625" style="54" customWidth="1"/>
    <col min="9" max="9" width="9" style="54" customWidth="1"/>
    <col min="10" max="10" width="17.5703125" style="54" bestFit="1" customWidth="1"/>
    <col min="11" max="11" width="25.28515625" style="54" bestFit="1" customWidth="1"/>
    <col min="12" max="16384" width="11.42578125" style="54"/>
  </cols>
  <sheetData>
    <row r="2" spans="2:11" x14ac:dyDescent="0.25">
      <c r="B2" s="41" t="s">
        <v>1613</v>
      </c>
      <c r="C2" t="s">
        <v>1621</v>
      </c>
      <c r="F2" s="41" t="s">
        <v>1613</v>
      </c>
      <c r="G2" t="s">
        <v>1621</v>
      </c>
      <c r="J2" s="41" t="s">
        <v>1613</v>
      </c>
      <c r="K2" t="s">
        <v>1621</v>
      </c>
    </row>
    <row r="3" spans="2:11" x14ac:dyDescent="0.25">
      <c r="B3" s="42" t="s">
        <v>3</v>
      </c>
      <c r="C3" s="43">
        <v>1351860</v>
      </c>
      <c r="F3" s="42" t="s">
        <v>45</v>
      </c>
      <c r="G3" s="43">
        <v>1881690</v>
      </c>
      <c r="J3" s="42" t="s">
        <v>1616</v>
      </c>
      <c r="K3" s="43">
        <v>158870</v>
      </c>
    </row>
    <row r="4" spans="2:11" x14ac:dyDescent="0.25">
      <c r="B4" s="42" t="s">
        <v>6</v>
      </c>
      <c r="C4" s="43">
        <v>699282</v>
      </c>
      <c r="F4" s="42" t="s">
        <v>46</v>
      </c>
      <c r="G4" s="43">
        <v>1283763</v>
      </c>
      <c r="J4" s="42" t="s">
        <v>1617</v>
      </c>
      <c r="K4" s="43">
        <v>498034</v>
      </c>
    </row>
    <row r="5" spans="2:11" x14ac:dyDescent="0.25">
      <c r="B5" s="42" t="s">
        <v>8</v>
      </c>
      <c r="C5" s="43">
        <v>577948</v>
      </c>
      <c r="F5" s="42" t="s">
        <v>48</v>
      </c>
      <c r="G5" s="43">
        <v>1618761</v>
      </c>
      <c r="J5" s="42" t="s">
        <v>1618</v>
      </c>
      <c r="K5" s="43">
        <v>1112686</v>
      </c>
    </row>
    <row r="6" spans="2:11" x14ac:dyDescent="0.25">
      <c r="B6" s="42" t="s">
        <v>11</v>
      </c>
      <c r="C6" s="43">
        <v>1019048</v>
      </c>
      <c r="F6" s="42" t="s">
        <v>50</v>
      </c>
      <c r="G6" s="43">
        <v>1384281</v>
      </c>
      <c r="J6" s="42" t="s">
        <v>1619</v>
      </c>
      <c r="K6" s="43">
        <v>1994133</v>
      </c>
    </row>
    <row r="7" spans="2:11" x14ac:dyDescent="0.25">
      <c r="B7" s="42" t="s">
        <v>14</v>
      </c>
      <c r="C7" s="43">
        <v>575210</v>
      </c>
      <c r="F7" s="42" t="s">
        <v>52</v>
      </c>
      <c r="G7" s="43">
        <v>1446523</v>
      </c>
      <c r="J7" s="42" t="s">
        <v>1620</v>
      </c>
      <c r="K7" s="43">
        <v>3851295</v>
      </c>
    </row>
    <row r="8" spans="2:11" x14ac:dyDescent="0.25">
      <c r="B8" s="42" t="s">
        <v>17</v>
      </c>
      <c r="C8" s="43">
        <v>1003238</v>
      </c>
      <c r="F8" s="42" t="s">
        <v>1614</v>
      </c>
      <c r="G8" s="43">
        <v>7615018</v>
      </c>
      <c r="J8" s="55" t="s">
        <v>1614</v>
      </c>
      <c r="K8" s="43">
        <v>7615018</v>
      </c>
    </row>
    <row r="9" spans="2:11" x14ac:dyDescent="0.25">
      <c r="B9" s="42" t="s">
        <v>19</v>
      </c>
      <c r="C9" s="43">
        <v>1335502</v>
      </c>
    </row>
    <row r="10" spans="2:11" x14ac:dyDescent="0.25">
      <c r="B10" s="42" t="s">
        <v>21</v>
      </c>
      <c r="C10" s="43">
        <v>1052930</v>
      </c>
    </row>
    <row r="11" spans="2:11" x14ac:dyDescent="0.25">
      <c r="B11" s="42" t="s">
        <v>1614</v>
      </c>
      <c r="C11" s="43">
        <v>7615018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CE798-738B-40A0-BEAC-7BDAE54BDE58}">
  <sheetPr codeName="Hoja11"/>
  <dimension ref="B2:J17"/>
  <sheetViews>
    <sheetView zoomScale="97" zoomScaleNormal="97" workbookViewId="0">
      <selection activeCell="E21" sqref="E21"/>
    </sheetView>
  </sheetViews>
  <sheetFormatPr baseColWidth="10" defaultRowHeight="15" x14ac:dyDescent="0.25"/>
  <cols>
    <col min="1" max="2" width="11.42578125" style="54"/>
    <col min="3" max="3" width="17" style="54" bestFit="1" customWidth="1"/>
    <col min="4" max="4" width="13" style="54" bestFit="1" customWidth="1"/>
    <col min="5" max="8" width="15.42578125" style="54" bestFit="1" customWidth="1"/>
    <col min="9" max="9" width="14.85546875" style="54" bestFit="1" customWidth="1"/>
    <col min="10" max="10" width="15.42578125" style="54" bestFit="1" customWidth="1"/>
    <col min="11" max="12" width="11.42578125" style="54"/>
    <col min="13" max="13" width="20.7109375" style="54" bestFit="1" customWidth="1"/>
    <col min="14" max="16384" width="11.42578125" style="54"/>
  </cols>
  <sheetData>
    <row r="2" spans="2:10" x14ac:dyDescent="0.25">
      <c r="B2" s="25" t="s">
        <v>1590</v>
      </c>
      <c r="C2" s="23">
        <v>40000</v>
      </c>
    </row>
    <row r="3" spans="2:10" x14ac:dyDescent="0.25">
      <c r="B3" s="25" t="s">
        <v>842</v>
      </c>
      <c r="C3" s="24">
        <v>0.3</v>
      </c>
    </row>
    <row r="4" spans="2:10" x14ac:dyDescent="0.25">
      <c r="B4" s="25" t="s">
        <v>1591</v>
      </c>
      <c r="C4" s="19">
        <v>24</v>
      </c>
    </row>
    <row r="5" spans="2:10" x14ac:dyDescent="0.25">
      <c r="B5" s="25" t="s">
        <v>1592</v>
      </c>
      <c r="C5" s="20">
        <f>PMT((1+C3)^(1/12)-1,C4,-C2,,)</f>
        <v>2165.5954494614921</v>
      </c>
    </row>
    <row r="8" spans="2:10" x14ac:dyDescent="0.25">
      <c r="D8" s="56"/>
      <c r="E8" s="66" t="s">
        <v>1593</v>
      </c>
      <c r="F8" s="66"/>
      <c r="G8" s="66"/>
      <c r="H8" s="66"/>
      <c r="I8" s="66"/>
      <c r="J8" s="66"/>
    </row>
    <row r="9" spans="2:10" x14ac:dyDescent="0.25">
      <c r="D9" s="20">
        <f>C5</f>
        <v>2165.5954494614921</v>
      </c>
      <c r="E9" s="21">
        <v>6</v>
      </c>
      <c r="F9" s="21">
        <v>12</v>
      </c>
      <c r="G9" s="21">
        <v>18</v>
      </c>
      <c r="H9" s="21">
        <v>24</v>
      </c>
      <c r="I9" s="21">
        <v>30</v>
      </c>
      <c r="J9" s="21">
        <v>36</v>
      </c>
    </row>
    <row r="10" spans="2:10" x14ac:dyDescent="0.25">
      <c r="C10" s="66" t="s">
        <v>842</v>
      </c>
      <c r="D10" s="22">
        <v>0.2</v>
      </c>
      <c r="E10" s="23">
        <f t="dataTable" ref="E10:J17" dt2D="1" dtr="1" r1="C4" r2="C3"/>
        <v>7028.4098544005601</v>
      </c>
      <c r="F10" s="23">
        <v>3674.2729199354908</v>
      </c>
      <c r="G10" s="23">
        <v>2559.3179467212058</v>
      </c>
      <c r="H10" s="23">
        <v>2004.1488654193586</v>
      </c>
      <c r="I10" s="23">
        <v>1672.8834541507113</v>
      </c>
      <c r="J10" s="23">
        <v>1453.5585177766775</v>
      </c>
    </row>
    <row r="11" spans="2:10" x14ac:dyDescent="0.25">
      <c r="C11" s="66"/>
      <c r="D11" s="22">
        <v>0.25</v>
      </c>
      <c r="E11" s="23">
        <v>7111.4012402534736</v>
      </c>
      <c r="F11" s="23">
        <v>3753.8530243012078</v>
      </c>
      <c r="G11" s="23">
        <v>2639.2998348618949</v>
      </c>
      <c r="H11" s="23">
        <v>2085.4739023895609</v>
      </c>
      <c r="I11" s="23">
        <v>1755.9150055065038</v>
      </c>
      <c r="J11" s="23">
        <v>1538.464354221808</v>
      </c>
    </row>
    <row r="12" spans="2:10" x14ac:dyDescent="0.25">
      <c r="C12" s="66"/>
      <c r="D12" s="22">
        <v>0.3</v>
      </c>
      <c r="E12" s="23">
        <v>7191.8316165145798</v>
      </c>
      <c r="F12" s="23">
        <v>3831.4381028934072</v>
      </c>
      <c r="G12" s="23">
        <v>2717.7047522800472</v>
      </c>
      <c r="H12" s="23">
        <v>2165.5954494614921</v>
      </c>
      <c r="I12" s="23">
        <v>1838.0904118823917</v>
      </c>
      <c r="J12" s="23">
        <v>1622.8396977167577</v>
      </c>
    </row>
    <row r="13" spans="2:10" x14ac:dyDescent="0.25">
      <c r="C13" s="66"/>
      <c r="D13" s="22">
        <v>0.35</v>
      </c>
      <c r="E13" s="23">
        <v>7269.8711862728196</v>
      </c>
      <c r="F13" s="23">
        <v>3907.1402611884855</v>
      </c>
      <c r="G13" s="23">
        <v>2794.5955362204591</v>
      </c>
      <c r="H13" s="23">
        <v>2244.5273840870018</v>
      </c>
      <c r="I13" s="23">
        <v>1919.372729282434</v>
      </c>
      <c r="J13" s="23">
        <v>1706.593918757583</v>
      </c>
    </row>
    <row r="14" spans="2:10" x14ac:dyDescent="0.25">
      <c r="C14" s="66"/>
      <c r="D14" s="22">
        <v>0.4</v>
      </c>
      <c r="E14" s="23">
        <v>7345.6731217265415</v>
      </c>
      <c r="F14" s="23">
        <v>3981.0618016905764</v>
      </c>
      <c r="G14" s="23">
        <v>2870.0314172852932</v>
      </c>
      <c r="H14" s="23">
        <v>2322.2860509861698</v>
      </c>
      <c r="I14" s="23">
        <v>1999.7337016376455</v>
      </c>
      <c r="J14" s="23">
        <v>1789.6516356223694</v>
      </c>
    </row>
    <row r="15" spans="2:10" x14ac:dyDescent="0.25">
      <c r="C15" s="66"/>
      <c r="D15" s="22">
        <v>0.45</v>
      </c>
      <c r="E15" s="23">
        <v>7419.3758037429061</v>
      </c>
      <c r="F15" s="23">
        <v>4053.2963773108504</v>
      </c>
      <c r="G15" s="23">
        <v>2944.0682705376248</v>
      </c>
      <c r="H15" s="23">
        <v>2398.8896926941761</v>
      </c>
      <c r="I15" s="23">
        <v>2079.1524414025216</v>
      </c>
      <c r="J15" s="23">
        <v>1871.9507157157725</v>
      </c>
    </row>
    <row r="16" spans="2:10" x14ac:dyDescent="0.25">
      <c r="C16" s="66"/>
      <c r="D16" s="22">
        <v>0.5</v>
      </c>
      <c r="E16" s="23">
        <v>7491.1047010805369</v>
      </c>
      <c r="F16" s="23">
        <v>4123.9299758299894</v>
      </c>
      <c r="G16" s="23">
        <v>3016.7588491564834</v>
      </c>
      <c r="H16" s="23">
        <v>2474.3579854979939</v>
      </c>
      <c r="I16" s="23">
        <v>2157.6143040343545</v>
      </c>
      <c r="J16" s="23">
        <v>1953.4405148668372</v>
      </c>
    </row>
    <row r="17" spans="3:10" x14ac:dyDescent="0.25">
      <c r="C17" s="66"/>
      <c r="D17" s="22">
        <v>0.55000000000000004</v>
      </c>
      <c r="E17" s="23">
        <v>7560.9739571681257</v>
      </c>
      <c r="F17" s="23">
        <v>4193.0417647918575</v>
      </c>
      <c r="G17" s="23">
        <v>3088.1530011298628</v>
      </c>
      <c r="H17" s="23">
        <v>2548.7116609519121</v>
      </c>
      <c r="I17" s="23">
        <v>2235.1099272850092</v>
      </c>
      <c r="J17" s="23">
        <v>2034.0803311282041</v>
      </c>
    </row>
  </sheetData>
  <mergeCells count="2">
    <mergeCell ref="E8:J8"/>
    <mergeCell ref="C10:C17"/>
  </mergeCells>
  <conditionalFormatting sqref="E10:J17">
    <cfRule type="colorScale" priority="1">
      <colorScale>
        <cfvo type="min"/>
        <cfvo type="percentile" val="50"/>
        <cfvo type="max"/>
        <color theme="6"/>
        <color rgb="FFFFEB84"/>
        <color theme="5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2B13-BD3C-4A1A-BCB0-507847FE1428}">
  <sheetPr codeName="Hoja12"/>
  <dimension ref="B2:H7"/>
  <sheetViews>
    <sheetView workbookViewId="0">
      <selection activeCell="G15" sqref="G15"/>
    </sheetView>
  </sheetViews>
  <sheetFormatPr baseColWidth="10" defaultRowHeight="15" x14ac:dyDescent="0.25"/>
  <cols>
    <col min="1" max="1" width="11.42578125" style="54"/>
    <col min="2" max="2" width="37.42578125" style="54" bestFit="1" customWidth="1"/>
    <col min="3" max="3" width="18.7109375" style="54" bestFit="1" customWidth="1"/>
    <col min="4" max="6" width="11.42578125" style="54"/>
    <col min="7" max="7" width="24.140625" style="54" bestFit="1" customWidth="1"/>
    <col min="8" max="8" width="18.140625" style="54" bestFit="1" customWidth="1"/>
    <col min="9" max="16384" width="11.42578125" style="54"/>
  </cols>
  <sheetData>
    <row r="2" spans="2:8" x14ac:dyDescent="0.25">
      <c r="B2" s="68" t="s">
        <v>1883</v>
      </c>
      <c r="C2" s="69"/>
      <c r="G2" s="67" t="s">
        <v>1626</v>
      </c>
      <c r="H2" s="67"/>
    </row>
    <row r="3" spans="2:8" x14ac:dyDescent="0.25">
      <c r="B3" s="26" t="s">
        <v>1596</v>
      </c>
      <c r="C3" s="20">
        <f ca="1">SUM(Creditos!Q:Q)-SUM(Depositos!L:L)</f>
        <v>1860508.6536705468</v>
      </c>
      <c r="G3" s="57" t="s">
        <v>1599</v>
      </c>
      <c r="H3" s="58">
        <v>0.03</v>
      </c>
    </row>
    <row r="4" spans="2:8" x14ac:dyDescent="0.25">
      <c r="B4" s="26" t="s">
        <v>1597</v>
      </c>
      <c r="C4" s="20">
        <f ca="1">C3*(1+0.5)</f>
        <v>2790762.9805058204</v>
      </c>
      <c r="G4" s="27" t="s">
        <v>1600</v>
      </c>
      <c r="H4" s="40">
        <f ca="1">SUM(Creditos!Q:Q)*(1-'Meta y Escenarios'!H3)-SUM(Depositos!L:L)</f>
        <v>1801166.2643462569</v>
      </c>
    </row>
    <row r="5" spans="2:8" x14ac:dyDescent="0.25">
      <c r="B5" s="26" t="s">
        <v>1595</v>
      </c>
      <c r="C5" s="20">
        <f ca="1">AVERAGE(Creditos!Q:Q)</f>
        <v>4945.1991103574946</v>
      </c>
    </row>
    <row r="6" spans="2:8" x14ac:dyDescent="0.25">
      <c r="B6" s="26" t="s">
        <v>1594</v>
      </c>
      <c r="C6" s="40">
        <v>188.11793223307399</v>
      </c>
      <c r="D6" s="40">
        <f>ROUNDUP(C6,0)</f>
        <v>189</v>
      </c>
    </row>
    <row r="7" spans="2:8" x14ac:dyDescent="0.25">
      <c r="B7" s="26" t="s">
        <v>1598</v>
      </c>
      <c r="C7" s="20">
        <f ca="1">C3+C6*C5</f>
        <v>2790789.2847918356</v>
      </c>
    </row>
  </sheetData>
  <scenarios current="1" show="0" sqref="I4">
    <scenario name="Optimista" locked="1" count="1" user="Usuario" comment="Creado por Usuario el 10/08/2026">
      <inputCells r="H3" val="0.03"/>
    </scenario>
    <scenario name="Base" locked="1" count="1" user="Usuario" comment="Creado por Usuario el 10/08/2026">
      <inputCells r="H3" val="0.15"/>
    </scenario>
    <scenario name="Pesimista" locked="1" count="1" user="Usuario" comment="Creado por Usuario el 10/08/2026">
      <inputCells r="H3" val="0.2"/>
    </scenario>
  </scenarios>
  <mergeCells count="2">
    <mergeCell ref="G2:H2"/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08052-E669-4A42-9599-0F6609750D4F}">
  <sheetPr codeName="Hoja13">
    <outlinePr summaryBelow="0"/>
  </sheetPr>
  <dimension ref="B2:G11"/>
  <sheetViews>
    <sheetView showGridLines="0" workbookViewId="0">
      <selection activeCell="K15" sqref="K15"/>
    </sheetView>
  </sheetViews>
  <sheetFormatPr baseColWidth="10" defaultRowHeight="15" outlineLevelRow="1" outlineLevelCol="1" x14ac:dyDescent="0.25"/>
  <cols>
    <col min="3" max="3" width="4.5703125" bestFit="1" customWidth="1"/>
    <col min="4" max="7" width="14.5703125" bestFit="1" customWidth="1" outlineLevel="1"/>
  </cols>
  <sheetData>
    <row r="2" spans="2:7" ht="15.75" x14ac:dyDescent="0.25">
      <c r="B2" s="31" t="s">
        <v>1607</v>
      </c>
      <c r="C2" s="31"/>
      <c r="D2" s="36"/>
      <c r="E2" s="36"/>
      <c r="F2" s="36"/>
      <c r="G2" s="36"/>
    </row>
    <row r="3" spans="2:7" ht="15.75" x14ac:dyDescent="0.25">
      <c r="B3" s="30"/>
      <c r="C3" s="30"/>
      <c r="D3" s="37" t="s">
        <v>1608</v>
      </c>
      <c r="E3" s="37" t="s">
        <v>1603</v>
      </c>
      <c r="F3" s="37" t="s">
        <v>1605</v>
      </c>
      <c r="G3" s="37" t="s">
        <v>1606</v>
      </c>
    </row>
    <row r="4" spans="2:7" ht="22.5" outlineLevel="1" x14ac:dyDescent="0.25">
      <c r="B4" s="33"/>
      <c r="C4" s="33"/>
      <c r="E4" s="39" t="s">
        <v>1604</v>
      </c>
      <c r="F4" s="39" t="s">
        <v>1604</v>
      </c>
      <c r="G4" s="39" t="s">
        <v>1604</v>
      </c>
    </row>
    <row r="5" spans="2:7" x14ac:dyDescent="0.25">
      <c r="B5" s="34" t="s">
        <v>1612</v>
      </c>
      <c r="C5" s="34"/>
      <c r="D5" s="32"/>
      <c r="E5" s="32"/>
      <c r="F5" s="32"/>
      <c r="G5" s="32"/>
    </row>
    <row r="6" spans="2:7" outlineLevel="1" x14ac:dyDescent="0.25">
      <c r="B6" s="33"/>
      <c r="C6" s="33" t="s">
        <v>1601</v>
      </c>
      <c r="D6" s="28">
        <v>0.03</v>
      </c>
      <c r="E6" s="38">
        <v>0.03</v>
      </c>
      <c r="F6" s="38">
        <v>0.15</v>
      </c>
      <c r="G6" s="38">
        <v>0.2</v>
      </c>
    </row>
    <row r="7" spans="2:7" x14ac:dyDescent="0.25">
      <c r="B7" s="34" t="s">
        <v>1598</v>
      </c>
      <c r="C7" s="34"/>
      <c r="D7" s="32"/>
      <c r="E7" s="32"/>
      <c r="F7" s="32"/>
      <c r="G7" s="32"/>
    </row>
    <row r="8" spans="2:7" ht="15.75" outlineLevel="1" thickBot="1" x14ac:dyDescent="0.3">
      <c r="B8" s="35"/>
      <c r="C8" s="35" t="s">
        <v>1602</v>
      </c>
      <c r="D8" s="29">
        <v>1796692.5371829499</v>
      </c>
      <c r="E8" s="29">
        <v>1796692.5371829499</v>
      </c>
      <c r="F8" s="29">
        <v>1559919.03572237</v>
      </c>
      <c r="G8" s="29">
        <v>1461263.4101137901</v>
      </c>
    </row>
    <row r="9" spans="2:7" x14ac:dyDescent="0.25">
      <c r="B9" t="s">
        <v>1609</v>
      </c>
    </row>
    <row r="10" spans="2:7" x14ac:dyDescent="0.25">
      <c r="B10" t="s">
        <v>1610</v>
      </c>
    </row>
    <row r="11" spans="2:7" x14ac:dyDescent="0.25">
      <c r="B11" t="s">
        <v>1611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Dashboards</vt:lpstr>
      <vt:lpstr>KPIs</vt:lpstr>
      <vt:lpstr>Agencias</vt:lpstr>
      <vt:lpstr>TiposCredito</vt:lpstr>
      <vt:lpstr>TiposDeposito</vt:lpstr>
      <vt:lpstr>Clientes</vt:lpstr>
      <vt:lpstr>Creditos</vt:lpstr>
      <vt:lpstr>TD Creditos</vt:lpstr>
      <vt:lpstr>Depositos</vt:lpstr>
      <vt:lpstr>TD Depositos</vt:lpstr>
      <vt:lpstr>Simulador</vt:lpstr>
      <vt:lpstr>Meta y Escenarios</vt:lpstr>
      <vt:lpstr>Resumen del escenario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Esteban Dávila</cp:lastModifiedBy>
  <dcterms:created xsi:type="dcterms:W3CDTF">2026-08-10T21:34:26Z</dcterms:created>
  <dcterms:modified xsi:type="dcterms:W3CDTF">2026-08-13T02:06:11Z</dcterms:modified>
</cp:coreProperties>
</file>